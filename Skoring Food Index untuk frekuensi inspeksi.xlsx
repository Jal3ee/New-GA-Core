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ri_susanto\Downloads\Referensi\"/>
    </mc:Choice>
  </mc:AlternateContent>
  <xr:revisionPtr revIDLastSave="0" documentId="13_ncr:80000009_{7DE676FD-D8D3-48F0-9FC7-FF49ECFFCB4C}" xr6:coauthVersionLast="47" xr6:coauthVersionMax="47" xr10:uidLastSave="{00000000-0000-0000-0000-000000000000}"/>
  <bookViews>
    <workbookView xWindow="-110" yWindow="-110" windowWidth="19420" windowHeight="11500" tabRatio="906" xr2:uid="{26702C21-921A-4CB1-B0D8-96CB385E2594}"/>
  </bookViews>
  <sheets>
    <sheet name="Form inspection " sheetId="1" r:id="rId1"/>
    <sheet name="Standar Repor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3" i="3" l="1"/>
  <c r="J13" i="3" s="1"/>
  <c r="K13" i="3" s="1"/>
  <c r="L14" i="3"/>
  <c r="C5" i="1"/>
  <c r="C14" i="1" s="1"/>
  <c r="C42" i="1"/>
  <c r="D42" i="1"/>
  <c r="E42" i="1"/>
  <c r="D5" i="1" s="1"/>
  <c r="F42" i="1"/>
  <c r="E5" i="1" s="1"/>
  <c r="E14" i="1" s="1"/>
  <c r="C52" i="1"/>
  <c r="D52" i="1"/>
  <c r="C6" i="1" s="1"/>
  <c r="E52" i="1"/>
  <c r="D6" i="1" s="1"/>
  <c r="F52" i="1"/>
  <c r="E6" i="1" s="1"/>
  <c r="C58" i="1"/>
  <c r="D58" i="1"/>
  <c r="C7" i="1" s="1"/>
  <c r="E58" i="1"/>
  <c r="D7" i="1" s="1"/>
  <c r="F58" i="1"/>
  <c r="E7" i="1" s="1"/>
  <c r="C71" i="1"/>
  <c r="D71" i="1"/>
  <c r="C8" i="1" s="1"/>
  <c r="E71" i="1"/>
  <c r="D8" i="1" s="1"/>
  <c r="F71" i="1"/>
  <c r="E8" i="1" s="1"/>
  <c r="C77" i="1"/>
  <c r="D77" i="1"/>
  <c r="C9" i="1" s="1"/>
  <c r="E77" i="1"/>
  <c r="D9" i="1" s="1"/>
  <c r="F77" i="1"/>
  <c r="E9" i="1" s="1"/>
  <c r="C88" i="1"/>
  <c r="D88" i="1"/>
  <c r="C10" i="1" s="1"/>
  <c r="E88" i="1"/>
  <c r="D10" i="1" s="1"/>
  <c r="F88" i="1"/>
  <c r="E10" i="1" s="1"/>
  <c r="C105" i="1"/>
  <c r="D105" i="1"/>
  <c r="C11" i="1" s="1"/>
  <c r="E105" i="1"/>
  <c r="D11" i="1" s="1"/>
  <c r="F105" i="1"/>
  <c r="E11" i="1" s="1"/>
  <c r="C113" i="1"/>
  <c r="D113" i="1"/>
  <c r="C12" i="1" s="1"/>
  <c r="E113" i="1"/>
  <c r="D12" i="1" s="1"/>
  <c r="F113" i="1"/>
  <c r="E12" i="1" s="1"/>
  <c r="C120" i="1"/>
  <c r="D120" i="1"/>
  <c r="C13" i="1" s="1"/>
  <c r="E120" i="1"/>
  <c r="D13" i="1" s="1"/>
  <c r="F120" i="1"/>
  <c r="E13" i="1" s="1"/>
  <c r="D14" i="1" l="1"/>
  <c r="N13" i="3"/>
  <c r="M12" i="3"/>
  <c r="J12" i="3" s="1"/>
  <c r="K12" i="3" s="1"/>
  <c r="C15" i="1"/>
  <c r="C16" i="1" s="1"/>
  <c r="D15" i="1"/>
  <c r="E15" i="1"/>
  <c r="E16" i="1" s="1"/>
  <c r="M10" i="3"/>
  <c r="J10" i="3" s="1"/>
  <c r="K10" i="3" s="1"/>
  <c r="D16" i="1" l="1"/>
  <c r="M11" i="3" s="1"/>
  <c r="N12" i="3"/>
  <c r="N10" i="3"/>
  <c r="N11" i="3" l="1"/>
  <c r="M14" i="3"/>
  <c r="N14" i="3" s="1"/>
  <c r="J11" i="3"/>
  <c r="K11" i="3" s="1"/>
  <c r="J14" i="3"/>
  <c r="K14" i="3" s="1"/>
</calcChain>
</file>

<file path=xl/sharedStrings.xml><?xml version="1.0" encoding="utf-8"?>
<sst xmlns="http://schemas.openxmlformats.org/spreadsheetml/2006/main" count="182" uniqueCount="138">
  <si>
    <t>FOOD INDEX</t>
  </si>
  <si>
    <t>ITEM</t>
  </si>
  <si>
    <t>NILAI TIPE A2</t>
  </si>
  <si>
    <t>NILAI TIPE A3</t>
  </si>
  <si>
    <t xml:space="preserve">A = TERIMA &amp; SIMPAN MAKANAN </t>
  </si>
  <si>
    <t>B = PERSIAPAN BAHAN MAKANAN</t>
  </si>
  <si>
    <t xml:space="preserve">C = PENGOLAHAN MAKANAN </t>
  </si>
  <si>
    <t>D = DAPUR DAN PERALATAN</t>
  </si>
  <si>
    <t xml:space="preserve">E = PENYAJIAN MAKANAN </t>
  </si>
  <si>
    <t>F = KEBERSIHAN PERORANGAN</t>
  </si>
  <si>
    <t xml:space="preserve">G = SANITASI UMUM </t>
  </si>
  <si>
    <t>H = PACKING MAKANAN &amp; DISTRIBUSI</t>
  </si>
  <si>
    <t>I = AIR MINUM (AIR BAKU MASAK)</t>
  </si>
  <si>
    <t>TOTAL</t>
  </si>
  <si>
    <t>TOTAL POIN MAKS.</t>
  </si>
  <si>
    <t>PERSENTASE PENCAPAIAN</t>
  </si>
  <si>
    <t>Bobot Nilai</t>
  </si>
  <si>
    <t>Score</t>
  </si>
  <si>
    <t>Yes</t>
  </si>
  <si>
    <t>No</t>
  </si>
  <si>
    <t>Not Applicable</t>
  </si>
  <si>
    <t>N/A</t>
  </si>
  <si>
    <t xml:space="preserve">A </t>
  </si>
  <si>
    <t xml:space="preserve">TERIMA &amp; SIMPAN MAKANAN </t>
  </si>
  <si>
    <t>MAX</t>
  </si>
  <si>
    <r>
      <t>Apakah</t>
    </r>
    <r>
      <rPr>
        <sz val="10.5"/>
        <color indexed="12"/>
        <rFont val="Calibri"/>
        <family val="2"/>
      </rPr>
      <t xml:space="preserve"> </t>
    </r>
    <r>
      <rPr>
        <sz val="10.5"/>
        <color indexed="8"/>
        <rFont val="Calibri"/>
        <family val="2"/>
      </rPr>
      <t>lokasi</t>
    </r>
    <r>
      <rPr>
        <sz val="10.5"/>
        <color indexed="12"/>
        <rFont val="Calibri"/>
        <family val="2"/>
      </rPr>
      <t xml:space="preserve"> </t>
    </r>
    <r>
      <rPr>
        <sz val="10.5"/>
        <color indexed="8"/>
        <rFont val="Calibri"/>
        <family val="2"/>
      </rPr>
      <t>penyimpanan bahan mentah dalam keadaan bersih dan rapih ?</t>
    </r>
  </si>
  <si>
    <t>Apakah terdapat catatan penerimaan bhn makanan  yg berisi nama bahan, tgl pembelian ?</t>
  </si>
  <si>
    <t>Apakah terdapat pemisahan barang yang sudah kadaluarsa ?</t>
  </si>
  <si>
    <t>Apakah cara penyimpanan makanan tidak tercampur antara makanan yang mentah dengan makanan yang siap dimakan ?</t>
  </si>
  <si>
    <t>Apakah penyimpanan bahan mentah menerapkan rotasi First in -First Out ?</t>
  </si>
  <si>
    <t>Apakah sayur-sayuran dan buah-buahan disimpan di tempat terpisah dari makanan lainnya ?</t>
  </si>
  <si>
    <t>Apakah daging dan ikan pada saat diterima oleh catering dalam keadaan layak untuk dikonsumsi?</t>
  </si>
  <si>
    <t>Apakah bahan yang akan dikelola selalu dalam keadaan baik, dan tidak rusak atau berubah bentuk,warna dan rasa ?</t>
  </si>
  <si>
    <r>
      <t xml:space="preserve">Apakah makanan kaleng yang dibeli terdaftar di DepKes RI atau </t>
    </r>
    <r>
      <rPr>
        <sz val="10.5"/>
        <color indexed="8"/>
        <rFont val="Calibri"/>
        <family val="2"/>
      </rPr>
      <t>Terdapat Label BP POM ?</t>
    </r>
  </si>
  <si>
    <r>
      <t>Apakah</t>
    </r>
    <r>
      <rPr>
        <sz val="10.5"/>
        <color indexed="12"/>
        <rFont val="Calibri"/>
        <family val="2"/>
      </rPr>
      <t xml:space="preserve"> </t>
    </r>
    <r>
      <rPr>
        <sz val="10.5"/>
        <color indexed="8"/>
        <rFont val="Calibri"/>
        <family val="2"/>
      </rPr>
      <t>tidak terdapat bahan kimia berbahaya disimpan digudang makanan ?</t>
    </r>
  </si>
  <si>
    <t>Terdapat label expired date untuk bahan olahan pabrik ?</t>
  </si>
  <si>
    <t>Apakah isi tempat penyimpanan beku tidak melebihi kapasitas ?</t>
  </si>
  <si>
    <r>
      <t xml:space="preserve">Apakah temperature tempat penyimpanan dingin </t>
    </r>
    <r>
      <rPr>
        <i/>
        <sz val="10.5"/>
        <color indexed="8"/>
        <rFont val="Calibri"/>
        <family val="2"/>
      </rPr>
      <t>(chiller)</t>
    </r>
    <r>
      <rPr>
        <sz val="10.5"/>
        <color indexed="8"/>
        <rFont val="Calibri"/>
        <family val="2"/>
      </rPr>
      <t xml:space="preserve"> antara 4 - 10 derajat celcius ? </t>
    </r>
  </si>
  <si>
    <r>
      <t>Apakah tempat penyimpanan dingin</t>
    </r>
    <r>
      <rPr>
        <i/>
        <sz val="10.5"/>
        <rFont val="Calibri"/>
        <family val="2"/>
      </rPr>
      <t xml:space="preserve"> (chiller)</t>
    </r>
    <r>
      <rPr>
        <sz val="10.5"/>
        <color indexed="12"/>
        <rFont val="Calibri"/>
        <family val="2"/>
      </rPr>
      <t xml:space="preserve"> </t>
    </r>
    <r>
      <rPr>
        <sz val="10.5"/>
        <rFont val="Calibri"/>
        <family val="2"/>
      </rPr>
      <t>secara keseluruhan bersih ?</t>
    </r>
  </si>
  <si>
    <r>
      <t>Apakah temperature tempat penyimpanan beku</t>
    </r>
    <r>
      <rPr>
        <sz val="10.5"/>
        <color indexed="8"/>
        <rFont val="Calibri"/>
        <family val="2"/>
      </rPr>
      <t xml:space="preserve"> lebih rendah dari -18 derajat celcius ?</t>
    </r>
  </si>
  <si>
    <t>Apakah tempat penyimpanan beku secara keseluruhan bersih ?</t>
  </si>
  <si>
    <t>Apakah penempatan bahan baku makanan tidak bersentuhan langsung dengan lantai dan tidak menempel dinding?</t>
  </si>
  <si>
    <t>Jumlah Nilai A</t>
  </si>
  <si>
    <t xml:space="preserve">B </t>
  </si>
  <si>
    <t xml:space="preserve">PERSIAPAN BAHAN MAKANAN </t>
  </si>
  <si>
    <t>Apakah penempatan bahan makanan tidak bersentuhan langsung dengan lantai dan tidak menempel dinding?</t>
  </si>
  <si>
    <t>Petugas sudah mencuci tangan sebelum melakukan persiapan ?</t>
  </si>
  <si>
    <r>
      <t xml:space="preserve">Petugas selalu menggunakan APD (hairnet, </t>
    </r>
    <r>
      <rPr>
        <i/>
        <sz val="10.5"/>
        <color indexed="8"/>
        <rFont val="Calibri"/>
        <family val="2"/>
      </rPr>
      <t>rubber boots anti slip</t>
    </r>
    <r>
      <rPr>
        <sz val="10.5"/>
        <color indexed="8"/>
        <rFont val="Calibri"/>
        <family val="2"/>
      </rPr>
      <t>, gloves) pada saat tahap persiapan ?</t>
    </r>
  </si>
  <si>
    <r>
      <t xml:space="preserve">Butcher selalu menggunakan APD (hairnet, apron, </t>
    </r>
    <r>
      <rPr>
        <i/>
        <sz val="10.5"/>
        <color indexed="8"/>
        <rFont val="Calibri"/>
        <family val="2"/>
      </rPr>
      <t>rubber boots anti slip</t>
    </r>
    <r>
      <rPr>
        <sz val="10.5"/>
        <color indexed="8"/>
        <rFont val="Calibri"/>
        <family val="2"/>
      </rPr>
      <t>, steel gloves*) pada saat tahap persiapan ?</t>
    </r>
  </si>
  <si>
    <t>Apakah bahan makanan yang sudah dipotong dan dicuci diletakkan pada wadah tertutup ?</t>
  </si>
  <si>
    <r>
      <t xml:space="preserve">Apakah terdapat ruangan khusus untuk tempat persiapan daging mentah ? ( </t>
    </r>
    <r>
      <rPr>
        <i/>
        <sz val="10.5"/>
        <rFont val="Calibri"/>
        <family val="2"/>
      </rPr>
      <t>Butcher</t>
    </r>
    <r>
      <rPr>
        <sz val="10.5"/>
        <rFont val="Calibri"/>
        <family val="2"/>
      </rPr>
      <t xml:space="preserve"> )</t>
    </r>
  </si>
  <si>
    <t>Jumlah Nilai B</t>
  </si>
  <si>
    <t xml:space="preserve">C </t>
  </si>
  <si>
    <t xml:space="preserve">PENGOLAHAN MAKANAN </t>
  </si>
  <si>
    <t>Apakah peletakkan wadah makanan tidak langsung diatas lantai ?</t>
  </si>
  <si>
    <r>
      <t xml:space="preserve">Petugas selalu menggunakan APD (hairnet, sarung tangan, apron, </t>
    </r>
    <r>
      <rPr>
        <i/>
        <sz val="10.5"/>
        <color indexed="8"/>
        <rFont val="Calibri"/>
        <family val="2"/>
      </rPr>
      <t>rubber boots anti slip</t>
    </r>
    <r>
      <rPr>
        <sz val="10.5"/>
        <color indexed="8"/>
        <rFont val="Calibri"/>
        <family val="2"/>
      </rPr>
      <t>) pada saat tahap pengolahan ?</t>
    </r>
  </si>
  <si>
    <t>Jumlah Nilai C</t>
  </si>
  <si>
    <t xml:space="preserve">D </t>
  </si>
  <si>
    <t>DAPUR DAN PERALATAN</t>
  </si>
  <si>
    <t>Apakah dapur dalam keadaan bersih (lantai,dinding,jendela,langit-langit,ventilasi,cat) ?</t>
  </si>
  <si>
    <t>Apakah terdapat inspeksi periodik terhadap peralatan listrik di area dapur?</t>
  </si>
  <si>
    <t>Apakah tidak ada kebocoran instalasi pipa di area dapur ?</t>
  </si>
  <si>
    <t xml:space="preserve">Apakah APAR dengan jenis Dry Chemical (penempatan sesuai dengan PERMENAKER no.4 Tahun 1980) ada terpasang di ruang dapur ? </t>
  </si>
  <si>
    <t>Apakah ada kotak P3K (isi sesuai PERMENAKER no 15 Tahun 2008) di luar area dapur?</t>
  </si>
  <si>
    <t>Apakah semua talenan bersih, tidak terbuat dari kayu tidak tercampur penggunaannya dengan bahan mentah dan bahan matang ?</t>
  </si>
  <si>
    <t>Apakah semua peralatan masak dan makan dalam keadaan baik ( tidak bau amis, tidak retak/sumbing, tidak berminyak, tidak berkarat dan tidak patah) ?</t>
  </si>
  <si>
    <t>Apakah tempat penyimpan dingin bersih dan digunakan sebagaimana mestinya ?</t>
  </si>
  <si>
    <t>Apakah tersedia fasilitas untuk mencuci tangan di dapur dengan air mengalir berfungsi dengan baik dan dilengkapi sabun ?</t>
  </si>
  <si>
    <t>Jumlah Nilai D</t>
  </si>
  <si>
    <t xml:space="preserve">E </t>
  </si>
  <si>
    <t xml:space="preserve">PENYAJIAN MAKANAN </t>
  </si>
  <si>
    <r>
      <t xml:space="preserve">Apakah petugas selalu menggunakan APD (hairnet, apron, gloves, </t>
    </r>
    <r>
      <rPr>
        <i/>
        <sz val="10.5"/>
        <color indexed="8"/>
        <rFont val="Calibri"/>
        <family val="2"/>
      </rPr>
      <t>rubber boots anti slip</t>
    </r>
    <r>
      <rPr>
        <sz val="10.5"/>
        <rFont val="Calibri"/>
        <family val="2"/>
      </rPr>
      <t>) pada saat tahap pengolahan ?</t>
    </r>
  </si>
  <si>
    <t>Apakah petugas selalu menggunakan alat untuk ambil makanan matang ?</t>
  </si>
  <si>
    <t>Jumlah Nilai E</t>
  </si>
  <si>
    <t xml:space="preserve">F </t>
  </si>
  <si>
    <t>KEBERSIHAN PERORANGAN</t>
  </si>
  <si>
    <t>Apakah dilakukan pemeriksaan kesehatan tenaga kerja secara berkala dan berlaku khusus karyawan kantin ? Jika ya, kapan pemeriksaan terakhir dilakukan ?</t>
  </si>
  <si>
    <r>
      <t xml:space="preserve">Apakah pemeriksaan </t>
    </r>
    <r>
      <rPr>
        <i/>
        <sz val="10.5"/>
        <rFont val="Calibri"/>
        <family val="2"/>
      </rPr>
      <t>food handler</t>
    </r>
    <r>
      <rPr>
        <sz val="10.5"/>
        <rFont val="Calibri"/>
        <family val="2"/>
      </rPr>
      <t xml:space="preserve"> (yang bekerja tidak menderita penyakit menular seperti penyakit kulit, jerawat, bisul, koreng, batuk, pilek, bersin, dan luka terbuka) harian dilakukan? </t>
    </r>
  </si>
  <si>
    <t>Apakah kuku jari tangan foodhandler dalam keadaan pendek dan bersih ?</t>
  </si>
  <si>
    <r>
      <t xml:space="preserve">Apakah rambut </t>
    </r>
    <r>
      <rPr>
        <i/>
        <sz val="10.5"/>
        <color indexed="63"/>
        <rFont val="Calibri"/>
        <family val="2"/>
      </rPr>
      <t>food handler</t>
    </r>
    <r>
      <rPr>
        <sz val="10.5"/>
        <color indexed="63"/>
        <rFont val="Calibri"/>
        <family val="2"/>
      </rPr>
      <t xml:space="preserve"> dipotong pendek dan bersih ?</t>
    </r>
  </si>
  <si>
    <r>
      <t>Apakah Catering menerapkan</t>
    </r>
    <r>
      <rPr>
        <i/>
        <sz val="10.5"/>
        <color indexed="63"/>
        <rFont val="Calibri"/>
        <family val="2"/>
      </rPr>
      <t xml:space="preserve"> Food Handler Authority</t>
    </r>
    <r>
      <rPr>
        <sz val="10.5"/>
        <color indexed="63"/>
        <rFont val="Calibri"/>
        <family val="2"/>
      </rPr>
      <t xml:space="preserve"> ?</t>
    </r>
  </si>
  <si>
    <t>Apakah pegawai catering telah mengikuti pelatihan hygiene, sanitasi dan penanganan keadaan darurat secara berkala ?</t>
  </si>
  <si>
    <t>Apakah pegawai catering tidak menggunakan perhiasan dan jam tangan?</t>
  </si>
  <si>
    <t>Jumlah Nilai F</t>
  </si>
  <si>
    <t>G</t>
  </si>
  <si>
    <t xml:space="preserve">SANITASI UMUM </t>
  </si>
  <si>
    <t>Apakah alat -alat makanan atau masak setelah digunakan selalu dibersihkan dengan sabun dan air panas kemudian dikeringkan ?</t>
  </si>
  <si>
    <t>Apakah terdapat exhaust fan di area dapur masak ?</t>
  </si>
  <si>
    <t>Apakah terdapat kitchen hood di area dapur masak ?</t>
  </si>
  <si>
    <t>Tidak terdapat sisa bahan/makanan yang dibuang kedalam saluran air ?</t>
  </si>
  <si>
    <t>Apakah tersedia alat alat pembersih ( sapu biasa, sapu lidi, tempat sampah, sikat lantai, ember, gayung ) dan disimpan di tempat khusus ?</t>
  </si>
  <si>
    <t>Apakah bak sampah dalam keadaan tertutup &amp; tidak bocor ?</t>
  </si>
  <si>
    <t xml:space="preserve">Apakah ventilasi di area dapur memadai ? </t>
  </si>
  <si>
    <t>Apakah intensitas cahaya di area dapur memadai ?</t>
  </si>
  <si>
    <t>Apakah permukaan lantai tidak licin dan tidak rusak ?</t>
  </si>
  <si>
    <t xml:space="preserve">Apakah terdapat MCK yang selalu terpelihara dengan baik kebersihannya ? </t>
  </si>
  <si>
    <r>
      <t>Apakah persediaan air panas (70-80</t>
    </r>
    <r>
      <rPr>
        <vertAlign val="superscript"/>
        <sz val="10.5"/>
        <color indexed="8"/>
        <rFont val="Calibri"/>
        <family val="2"/>
      </rPr>
      <t>0</t>
    </r>
    <r>
      <rPr>
        <sz val="10.5"/>
        <color indexed="8"/>
        <rFont val="Calibri"/>
        <family val="2"/>
      </rPr>
      <t>) dan air dingin cukup memadai ?</t>
    </r>
  </si>
  <si>
    <t>Apakah di area kantin dan dapur tidak terdapat hama termasuk kucing, kecoa, lalat, burung, atau tikus ?</t>
  </si>
  <si>
    <t>Apakah pengendalian hama dilakukan secara berkala?</t>
  </si>
  <si>
    <t>Jumlah Nilai G</t>
  </si>
  <si>
    <t>H</t>
  </si>
  <si>
    <t>PACKING MAKANAN &amp; DISTRIBUSI</t>
  </si>
  <si>
    <t>Apakah pada saat packing makanan siap saji, kondisi makanan layak konsumsi?</t>
  </si>
  <si>
    <t>Apakah petugas menggunakan APD (hairnet, apron, sarung tangan, masker) pada saat tahap packing makanan ?</t>
  </si>
  <si>
    <r>
      <t xml:space="preserve">Apakah sarana transportasi makanan lulus uji commissioning </t>
    </r>
    <r>
      <rPr>
        <i/>
        <sz val="10.5"/>
        <color indexed="8"/>
        <rFont val="Calibri"/>
        <family val="2"/>
      </rPr>
      <t>safety</t>
    </r>
    <r>
      <rPr>
        <sz val="10.5"/>
        <color indexed="8"/>
        <rFont val="Calibri"/>
        <family val="2"/>
      </rPr>
      <t xml:space="preserve"> dan </t>
    </r>
    <r>
      <rPr>
        <i/>
        <sz val="10.5"/>
        <color indexed="8"/>
        <rFont val="Calibri"/>
        <family val="2"/>
      </rPr>
      <t>hygiene</t>
    </r>
    <r>
      <rPr>
        <sz val="10.5"/>
        <color indexed="8"/>
        <rFont val="Calibri"/>
        <family val="2"/>
      </rPr>
      <t>?</t>
    </r>
  </si>
  <si>
    <t>Apakah tidak terdapat bahan kimia berbahaya di area pengepakan makanan ?</t>
  </si>
  <si>
    <t>Jumlah Nilai H</t>
  </si>
  <si>
    <t>I</t>
  </si>
  <si>
    <t>AIR MINUM (AIR BAKU MASAK)</t>
  </si>
  <si>
    <t>Apakah air yang digunakan untuk masak menggunakan air minum dalam kemasan (AMDK skala daerah), jika ya :</t>
  </si>
  <si>
    <t>1a</t>
  </si>
  <si>
    <t>Apakah terdapat hasil analisa lab kualitas air minum bulanan dari produsen air minum?</t>
  </si>
  <si>
    <t>1b</t>
  </si>
  <si>
    <t>Apakah terdapat hasil analisa lab kualitas air minum  6 bulanan yg dilakukan oleh pihak catering dengan lab terakreditasi?</t>
  </si>
  <si>
    <t>Jumlah Nilai I</t>
  </si>
  <si>
    <t>Target</t>
  </si>
  <si>
    <t>Actual</t>
  </si>
  <si>
    <t>CATERING</t>
  </si>
  <si>
    <t xml:space="preserve">Total </t>
  </si>
  <si>
    <t>FORM PENCAPAIAN INSPEKSI CATERING</t>
  </si>
  <si>
    <t>NO</t>
  </si>
  <si>
    <t>Frekuensi Inspeksi</t>
  </si>
  <si>
    <t>Food Index</t>
  </si>
  <si>
    <t>Pencapaian</t>
  </si>
  <si>
    <t>JAN</t>
  </si>
  <si>
    <t>TAHUN 2026</t>
  </si>
  <si>
    <t>(Bulan)</t>
  </si>
  <si>
    <t>Catering GAS</t>
  </si>
  <si>
    <t>Catering Mom's</t>
  </si>
  <si>
    <t>Catering Sandaga</t>
  </si>
  <si>
    <t>PT. ANTANG GUNUNG MERATUS</t>
  </si>
  <si>
    <t>PERIODE 2026</t>
  </si>
  <si>
    <t>Catering Manggala raya</t>
  </si>
  <si>
    <t>W1</t>
  </si>
  <si>
    <t>W2</t>
  </si>
  <si>
    <t>W3</t>
  </si>
  <si>
    <t>W4</t>
  </si>
  <si>
    <t>NILAI TIPE 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</si>
</sst>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  <family val="2"/>
    </font>
    <font>
      <sz val="10"/>
      <name val="Calibri"/>
      <family val="2"/>
    </font>
    <font>
      <b/>
      <sz val="20"/>
      <name val="Calibri"/>
      <family val="2"/>
    </font>
    <font>
      <sz val="16"/>
      <name val="Calibri"/>
      <family val="2"/>
    </font>
    <font>
      <b/>
      <sz val="12"/>
      <name val="Calibri"/>
      <family val="2"/>
    </font>
    <font>
      <b/>
      <sz val="10.5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b/>
      <sz val="9"/>
      <color indexed="8"/>
      <name val="Calibri"/>
      <family val="2"/>
    </font>
    <font>
      <b/>
      <sz val="10"/>
      <name val="Calibri"/>
      <family val="2"/>
    </font>
    <font>
      <sz val="10.5"/>
      <name val="Calibri"/>
      <family val="2"/>
    </font>
    <font>
      <sz val="10.5"/>
      <color indexed="8"/>
      <name val="Calibri"/>
      <family val="2"/>
    </font>
    <font>
      <sz val="10.5"/>
      <color indexed="12"/>
      <name val="Calibri"/>
      <family val="2"/>
    </font>
    <font>
      <i/>
      <sz val="10.5"/>
      <color indexed="8"/>
      <name val="Calibri"/>
      <family val="2"/>
    </font>
    <font>
      <i/>
      <sz val="10.5"/>
      <name val="Calibri"/>
      <family val="2"/>
    </font>
    <font>
      <b/>
      <sz val="10.5"/>
      <color indexed="8"/>
      <name val="Calibri"/>
      <family val="2"/>
    </font>
    <font>
      <sz val="10.5"/>
      <color indexed="63"/>
      <name val="Calibri"/>
      <family val="2"/>
    </font>
    <font>
      <i/>
      <sz val="10.5"/>
      <color indexed="63"/>
      <name val="Calibri"/>
      <family val="2"/>
    </font>
    <font>
      <vertAlign val="superscript"/>
      <sz val="10.5"/>
      <color indexed="8"/>
      <name val="Calibri"/>
      <family val="2"/>
    </font>
    <font>
      <sz val="10.5"/>
      <color indexed="39"/>
      <name val="Calibri"/>
      <family val="2"/>
    </font>
    <font>
      <b/>
      <sz val="10"/>
      <name val="Arial"/>
      <family val="2"/>
    </font>
    <font>
      <b/>
      <sz val="12"/>
      <name val="Arial"/>
      <family val="2"/>
    </font>
    <font>
      <sz val="4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  <fill>
      <patternFill patternType="solid">
        <fgColor indexed="49"/>
        <bgColor indexed="40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31"/>
        <bgColor indexed="44"/>
      </patternFill>
    </fill>
    <fill>
      <patternFill patternType="solid">
        <fgColor indexed="13"/>
        <bgColor indexed="34"/>
      </patternFill>
    </fill>
    <fill>
      <patternFill patternType="solid">
        <fgColor indexed="40"/>
        <bgColor indexed="49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0" xfId="0" applyFont="1"/>
    <xf numFmtId="0" fontId="9" fillId="0" borderId="0" xfId="0" applyFont="1" applyAlignment="1">
      <alignment horizont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0" fontId="10" fillId="0" borderId="0" xfId="0" applyFont="1" applyFill="1" applyAlignment="1">
      <alignment vertical="center"/>
    </xf>
    <xf numFmtId="0" fontId="10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9" fillId="0" borderId="0" xfId="0" applyFont="1"/>
    <xf numFmtId="0" fontId="11" fillId="0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15" fillId="6" borderId="1" xfId="0" applyFont="1" applyFill="1" applyBorder="1" applyAlignment="1">
      <alignment vertical="center" wrapText="1"/>
    </xf>
    <xf numFmtId="0" fontId="15" fillId="6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 wrapText="1"/>
    </xf>
    <xf numFmtId="0" fontId="16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 wrapText="1"/>
    </xf>
    <xf numFmtId="0" fontId="15" fillId="0" borderId="1" xfId="0" applyFont="1" applyFill="1" applyBorder="1" applyAlignment="1">
      <alignment vertical="center" wrapText="1"/>
    </xf>
    <xf numFmtId="0" fontId="15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horizontal="center"/>
    </xf>
    <xf numFmtId="10" fontId="4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9" borderId="2" xfId="0" applyFont="1" applyFill="1" applyBorder="1" applyAlignment="1">
      <alignment horizontal="center" vertical="center"/>
    </xf>
    <xf numFmtId="0" fontId="21" fillId="0" borderId="0" xfId="0" applyFont="1"/>
    <xf numFmtId="0" fontId="20" fillId="0" borderId="0" xfId="0" applyFont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10" fontId="0" fillId="0" borderId="2" xfId="0" applyNumberFormat="1" applyBorder="1" applyAlignment="1">
      <alignment horizontal="center" vertical="center"/>
    </xf>
    <xf numFmtId="10" fontId="20" fillId="0" borderId="2" xfId="0" applyNumberFormat="1" applyFont="1" applyBorder="1" applyAlignment="1">
      <alignment horizontal="center" vertical="center"/>
    </xf>
    <xf numFmtId="10" fontId="0" fillId="0" borderId="2" xfId="0" applyNumberFormat="1" applyFill="1" applyBorder="1" applyAlignment="1">
      <alignment horizontal="center" vertical="center"/>
    </xf>
    <xf numFmtId="0" fontId="20" fillId="10" borderId="2" xfId="0" applyFont="1" applyFill="1" applyBorder="1" applyAlignment="1">
      <alignment horizontal="center" vertical="center"/>
    </xf>
    <xf numFmtId="10" fontId="20" fillId="10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1" fillId="0" borderId="5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/>
    </xf>
    <xf numFmtId="0" fontId="4" fillId="7" borderId="2" xfId="0" applyFont="1" applyFill="1" applyBorder="1" applyAlignment="1">
      <alignment horizontal="center"/>
    </xf>
    <xf numFmtId="0" fontId="22" fillId="0" borderId="10" xfId="0" applyFont="1" applyBorder="1" applyAlignment="1">
      <alignment horizontal="center" vertical="center"/>
    </xf>
    <xf numFmtId="0" fontId="20" fillId="9" borderId="2" xfId="0" applyFont="1" applyFill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/>
    </xf>
    <xf numFmtId="0" fontId="20" fillId="0" borderId="9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9" borderId="4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7" xfId="0" applyFont="1" applyFill="1" applyBorder="1" applyAlignment="1">
      <alignment horizontal="center" vertic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0" fillId="0" borderId="6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96D3FF"/>
      <rgbColor rgb="00000080"/>
      <rgbColor rgb="00FF00FF"/>
      <rgbColor rgb="00FFFF00"/>
      <rgbColor rgb="0000FFFF"/>
      <rgbColor rgb="00800080"/>
      <rgbColor rgb="00800000"/>
      <rgbColor rgb="00008080"/>
      <rgbColor rgb="000000CC"/>
      <rgbColor rgb="0000B8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00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1C1C1C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0AF47-FFF1-40E9-B866-61DEEE74603D}">
  <dimension ref="A1:IV121"/>
  <sheetViews>
    <sheetView tabSelected="1" zoomScale="70" zoomScaleNormal="70" workbookViewId="0">
      <selection activeCell="G5" sqref="G5"/>
    </sheetView>
  </sheetViews>
  <sheetFormatPr defaultColWidth="11.54296875" defaultRowHeight="13" x14ac:dyDescent="0.3"/>
  <cols>
    <col min="1" max="1" width="4.7265625" style="1" customWidth="1"/>
    <col min="2" max="2" width="52.1796875" style="2" customWidth="1"/>
    <col min="3" max="3" width="12.453125" style="2" customWidth="1"/>
    <col min="4" max="4" width="13.1796875" style="2" customWidth="1"/>
    <col min="5" max="6" width="13" style="2" customWidth="1"/>
    <col min="7" max="7" width="21.1796875" style="2" customWidth="1"/>
    <col min="8" max="16384" width="11.54296875" style="2"/>
  </cols>
  <sheetData>
    <row r="1" spans="1:256" ht="25.4" customHeight="1" x14ac:dyDescent="0.3">
      <c r="A1" s="62" t="s">
        <v>130</v>
      </c>
      <c r="B1" s="62"/>
      <c r="C1" s="62"/>
      <c r="D1" s="62"/>
      <c r="E1" s="62"/>
      <c r="F1" s="62"/>
    </row>
    <row r="2" spans="1:256" ht="21" x14ac:dyDescent="0.5">
      <c r="A2" s="63" t="s">
        <v>0</v>
      </c>
      <c r="B2" s="63"/>
      <c r="C2" s="63"/>
      <c r="D2" s="63"/>
      <c r="E2" s="63"/>
      <c r="F2" s="63"/>
    </row>
    <row r="4" spans="1:256" s="6" customFormat="1" ht="15.5" x14ac:dyDescent="0.35">
      <c r="A4" s="64" t="s">
        <v>1</v>
      </c>
      <c r="B4" s="64"/>
      <c r="C4" s="3" t="s">
        <v>137</v>
      </c>
      <c r="D4" s="4" t="s">
        <v>2</v>
      </c>
      <c r="E4" s="5" t="s">
        <v>3</v>
      </c>
      <c r="IV4" s="2"/>
    </row>
    <row r="5" spans="1:256" s="6" customFormat="1" x14ac:dyDescent="0.3">
      <c r="A5" s="65" t="s">
        <v>4</v>
      </c>
      <c r="B5" s="65"/>
      <c r="C5" s="49">
        <f>D42</f>
        <v>0</v>
      </c>
      <c r="D5" s="49">
        <f>E42</f>
        <v>0</v>
      </c>
      <c r="E5" s="49">
        <f>F42</f>
        <v>0</v>
      </c>
      <c r="IV5" s="2"/>
    </row>
    <row r="6" spans="1:256" s="6" customFormat="1" x14ac:dyDescent="0.3">
      <c r="A6" s="65" t="s">
        <v>5</v>
      </c>
      <c r="B6" s="65"/>
      <c r="C6" s="49">
        <f>D52</f>
        <v>0</v>
      </c>
      <c r="D6" s="49">
        <f>E52</f>
        <v>0</v>
      </c>
      <c r="E6" s="49">
        <f>F52</f>
        <v>0</v>
      </c>
      <c r="IV6" s="2"/>
    </row>
    <row r="7" spans="1:256" s="6" customFormat="1" x14ac:dyDescent="0.3">
      <c r="A7" s="65" t="s">
        <v>6</v>
      </c>
      <c r="B7" s="65"/>
      <c r="C7" s="49">
        <f>D58</f>
        <v>0</v>
      </c>
      <c r="D7" s="49">
        <f>E58</f>
        <v>0</v>
      </c>
      <c r="E7" s="49">
        <f>F58</f>
        <v>0</v>
      </c>
      <c r="IV7" s="2"/>
    </row>
    <row r="8" spans="1:256" s="6" customFormat="1" x14ac:dyDescent="0.3">
      <c r="A8" s="65" t="s">
        <v>7</v>
      </c>
      <c r="B8" s="65"/>
      <c r="C8" s="49">
        <f>D71</f>
        <v>0</v>
      </c>
      <c r="D8" s="49">
        <f>E71</f>
        <v>0</v>
      </c>
      <c r="E8" s="49">
        <f>F71</f>
        <v>0</v>
      </c>
      <c r="IV8" s="2"/>
    </row>
    <row r="9" spans="1:256" s="6" customFormat="1" x14ac:dyDescent="0.3">
      <c r="A9" s="65" t="s">
        <v>8</v>
      </c>
      <c r="B9" s="65"/>
      <c r="C9" s="49">
        <f>D77</f>
        <v>0</v>
      </c>
      <c r="D9" s="49">
        <f>E77</f>
        <v>0</v>
      </c>
      <c r="E9" s="49">
        <f>F77</f>
        <v>0</v>
      </c>
      <c r="IV9" s="2"/>
    </row>
    <row r="10" spans="1:256" s="6" customFormat="1" x14ac:dyDescent="0.3">
      <c r="A10" s="65" t="s">
        <v>9</v>
      </c>
      <c r="B10" s="65"/>
      <c r="C10" s="49">
        <f>D88</f>
        <v>0</v>
      </c>
      <c r="D10" s="49">
        <f>E88</f>
        <v>0</v>
      </c>
      <c r="E10" s="49">
        <f>F88</f>
        <v>0</v>
      </c>
      <c r="IV10" s="2"/>
    </row>
    <row r="11" spans="1:256" s="6" customFormat="1" x14ac:dyDescent="0.3">
      <c r="A11" s="65" t="s">
        <v>10</v>
      </c>
      <c r="B11" s="65"/>
      <c r="C11" s="49">
        <f>D105</f>
        <v>0</v>
      </c>
      <c r="D11" s="49">
        <f>E105</f>
        <v>0</v>
      </c>
      <c r="E11" s="49">
        <f>F105</f>
        <v>0</v>
      </c>
      <c r="IV11" s="2"/>
    </row>
    <row r="12" spans="1:256" s="6" customFormat="1" x14ac:dyDescent="0.3">
      <c r="A12" s="65" t="s">
        <v>11</v>
      </c>
      <c r="B12" s="65"/>
      <c r="C12" s="49">
        <f>D113</f>
        <v>0</v>
      </c>
      <c r="D12" s="49">
        <f>E113</f>
        <v>0</v>
      </c>
      <c r="E12" s="49">
        <f>F113</f>
        <v>0</v>
      </c>
      <c r="IV12" s="2"/>
    </row>
    <row r="13" spans="1:256" s="6" customFormat="1" x14ac:dyDescent="0.3">
      <c r="A13" s="69" t="s">
        <v>12</v>
      </c>
      <c r="B13" s="69"/>
      <c r="C13" s="49">
        <f>D120</f>
        <v>0</v>
      </c>
      <c r="D13" s="49">
        <f>E120</f>
        <v>0</v>
      </c>
      <c r="E13" s="49">
        <f>F120</f>
        <v>0</v>
      </c>
      <c r="IV13" s="2"/>
    </row>
    <row r="14" spans="1:256" s="7" customFormat="1" ht="15.5" x14ac:dyDescent="0.35">
      <c r="A14" s="70" t="s">
        <v>13</v>
      </c>
      <c r="B14" s="70"/>
      <c r="C14" s="44">
        <f>SUM(C5:C13)</f>
        <v>0</v>
      </c>
      <c r="D14" s="44">
        <f>SUM(D5:D13)</f>
        <v>0</v>
      </c>
      <c r="E14" s="44">
        <f>SUM(E5:E13)</f>
        <v>0</v>
      </c>
    </row>
    <row r="15" spans="1:256" s="7" customFormat="1" ht="15.5" x14ac:dyDescent="0.35">
      <c r="A15" s="70" t="s">
        <v>14</v>
      </c>
      <c r="B15" s="70"/>
      <c r="C15" s="44">
        <f>(C42+C52+C58+C71+C77+C88+C105+C113+C120) - 3</f>
        <v>59</v>
      </c>
      <c r="D15" s="44">
        <f>(C42+C52+C58+C71+C77+C88+C105+C113+C120) - 2</f>
        <v>60</v>
      </c>
      <c r="E15" s="44">
        <f>C42+C52+C58+C71+C77+C88+C105+C113+C120</f>
        <v>62</v>
      </c>
    </row>
    <row r="16" spans="1:256" s="7" customFormat="1" ht="15.5" x14ac:dyDescent="0.35">
      <c r="A16" s="70" t="s">
        <v>15</v>
      </c>
      <c r="B16" s="70"/>
      <c r="C16" s="45">
        <f>C14/C15</f>
        <v>0</v>
      </c>
      <c r="D16" s="45">
        <f>D14/D15</f>
        <v>0</v>
      </c>
      <c r="E16" s="45">
        <f>E14/E15</f>
        <v>0</v>
      </c>
    </row>
    <row r="17" spans="1:256" s="9" customFormat="1" x14ac:dyDescent="0.3">
      <c r="A17" s="66"/>
      <c r="B17" s="66"/>
      <c r="C17" s="66"/>
      <c r="D17" s="66"/>
      <c r="E17" s="8"/>
      <c r="IV17" s="2"/>
    </row>
    <row r="18" spans="1:256" s="11" customFormat="1" ht="14" x14ac:dyDescent="0.3">
      <c r="A18" s="67" t="s">
        <v>16</v>
      </c>
      <c r="B18" s="67"/>
      <c r="C18" s="67"/>
      <c r="D18" s="47" t="s">
        <v>17</v>
      </c>
      <c r="E18" s="10"/>
      <c r="IV18" s="2"/>
    </row>
    <row r="19" spans="1:256" s="11" customFormat="1" ht="14" x14ac:dyDescent="0.3">
      <c r="A19" s="68" t="s">
        <v>18</v>
      </c>
      <c r="B19" s="68"/>
      <c r="C19" s="68"/>
      <c r="D19" s="48">
        <v>1</v>
      </c>
      <c r="E19" s="10"/>
      <c r="IV19" s="2"/>
    </row>
    <row r="20" spans="1:256" s="11" customFormat="1" ht="14" x14ac:dyDescent="0.3">
      <c r="A20" s="68" t="s">
        <v>19</v>
      </c>
      <c r="B20" s="68"/>
      <c r="C20" s="68"/>
      <c r="D20" s="48">
        <v>0</v>
      </c>
      <c r="E20" s="10"/>
      <c r="IV20" s="2"/>
    </row>
    <row r="21" spans="1:256" s="11" customFormat="1" ht="14" x14ac:dyDescent="0.3">
      <c r="A21" s="68" t="s">
        <v>20</v>
      </c>
      <c r="B21" s="68"/>
      <c r="C21" s="68"/>
      <c r="D21" s="48" t="s">
        <v>21</v>
      </c>
      <c r="E21" s="10"/>
      <c r="IV21" s="2"/>
    </row>
    <row r="22" spans="1:256" s="11" customFormat="1" ht="14" x14ac:dyDescent="0.3">
      <c r="A22" s="46"/>
      <c r="B22" s="46"/>
      <c r="C22" s="46"/>
      <c r="D22" s="46"/>
      <c r="E22" s="10"/>
      <c r="IV22" s="2"/>
    </row>
    <row r="23" spans="1:256" s="11" customFormat="1" ht="14" x14ac:dyDescent="0.3">
      <c r="A23" s="13" t="s">
        <v>22</v>
      </c>
      <c r="B23" s="14" t="s">
        <v>23</v>
      </c>
      <c r="C23" s="13" t="s">
        <v>24</v>
      </c>
      <c r="D23" s="3" t="s">
        <v>137</v>
      </c>
      <c r="E23" s="4" t="s">
        <v>2</v>
      </c>
      <c r="F23" s="5" t="s">
        <v>3</v>
      </c>
      <c r="IV23" s="2"/>
    </row>
    <row r="24" spans="1:256" s="11" customFormat="1" ht="28" x14ac:dyDescent="0.3">
      <c r="A24" s="15">
        <v>1</v>
      </c>
      <c r="B24" s="16" t="s">
        <v>25</v>
      </c>
      <c r="C24" s="15">
        <v>1</v>
      </c>
      <c r="D24" s="15"/>
      <c r="E24" s="15"/>
      <c r="F24" s="15"/>
      <c r="IV24" s="2"/>
    </row>
    <row r="25" spans="1:256" s="11" customFormat="1" ht="28" x14ac:dyDescent="0.3">
      <c r="A25" s="15">
        <v>2</v>
      </c>
      <c r="B25" s="16" t="s">
        <v>26</v>
      </c>
      <c r="C25" s="15">
        <v>1</v>
      </c>
      <c r="D25" s="15"/>
      <c r="E25" s="15"/>
      <c r="F25" s="15"/>
      <c r="IV25" s="2"/>
    </row>
    <row r="26" spans="1:256" s="11" customFormat="1" ht="14" x14ac:dyDescent="0.3">
      <c r="A26" s="15">
        <v>3</v>
      </c>
      <c r="B26" s="16" t="s">
        <v>27</v>
      </c>
      <c r="C26" s="15">
        <v>1</v>
      </c>
      <c r="D26" s="15"/>
      <c r="E26" s="15"/>
      <c r="F26" s="15"/>
      <c r="IV26" s="2"/>
    </row>
    <row r="27" spans="1:256" s="11" customFormat="1" ht="28" x14ac:dyDescent="0.3">
      <c r="A27" s="15">
        <v>4</v>
      </c>
      <c r="B27" s="16" t="s">
        <v>28</v>
      </c>
      <c r="C27" s="15">
        <v>1</v>
      </c>
      <c r="D27" s="15"/>
      <c r="E27" s="15"/>
      <c r="F27" s="15"/>
      <c r="IV27" s="2"/>
    </row>
    <row r="28" spans="1:256" s="11" customFormat="1" ht="28" x14ac:dyDescent="0.3">
      <c r="A28" s="17">
        <v>5</v>
      </c>
      <c r="B28" s="18" t="s">
        <v>29</v>
      </c>
      <c r="C28" s="15">
        <v>1</v>
      </c>
      <c r="D28" s="15"/>
      <c r="E28" s="15"/>
      <c r="F28" s="15"/>
      <c r="IV28" s="2"/>
    </row>
    <row r="29" spans="1:256" s="11" customFormat="1" ht="28" x14ac:dyDescent="0.3">
      <c r="A29" s="12">
        <v>6</v>
      </c>
      <c r="B29" s="19" t="s">
        <v>30</v>
      </c>
      <c r="C29" s="12">
        <v>1</v>
      </c>
      <c r="D29" s="12"/>
      <c r="E29" s="15"/>
      <c r="F29" s="12"/>
      <c r="IV29" s="2"/>
    </row>
    <row r="30" spans="1:256" s="11" customFormat="1" ht="28" x14ac:dyDescent="0.3">
      <c r="A30" s="17">
        <v>7</v>
      </c>
      <c r="B30" s="18" t="s">
        <v>31</v>
      </c>
      <c r="C30" s="17">
        <v>1</v>
      </c>
      <c r="D30" s="17"/>
      <c r="E30" s="15"/>
      <c r="F30" s="17"/>
      <c r="IV30" s="2"/>
    </row>
    <row r="31" spans="1:256" s="11" customFormat="1" ht="28" x14ac:dyDescent="0.3">
      <c r="A31" s="20">
        <v>8</v>
      </c>
      <c r="B31" s="21" t="s">
        <v>32</v>
      </c>
      <c r="C31" s="20">
        <v>1</v>
      </c>
      <c r="D31" s="20"/>
      <c r="E31" s="15"/>
      <c r="F31" s="20"/>
      <c r="IV31" s="2"/>
    </row>
    <row r="32" spans="1:256" s="11" customFormat="1" ht="28" x14ac:dyDescent="0.3">
      <c r="A32" s="12">
        <v>9</v>
      </c>
      <c r="B32" s="19" t="s">
        <v>33</v>
      </c>
      <c r="C32" s="12">
        <v>1</v>
      </c>
      <c r="D32" s="12"/>
      <c r="E32" s="15"/>
      <c r="F32" s="12"/>
      <c r="IV32" s="2"/>
    </row>
    <row r="33" spans="1:256" s="11" customFormat="1" ht="28" x14ac:dyDescent="0.3">
      <c r="A33" s="12">
        <v>10</v>
      </c>
      <c r="B33" s="19" t="s">
        <v>34</v>
      </c>
      <c r="C33" s="12">
        <v>1</v>
      </c>
      <c r="D33" s="12"/>
      <c r="E33" s="15"/>
      <c r="F33" s="12"/>
      <c r="IV33" s="2"/>
    </row>
    <row r="34" spans="1:256" s="11" customFormat="1" ht="14" x14ac:dyDescent="0.3">
      <c r="A34" s="12">
        <v>11</v>
      </c>
      <c r="B34" s="19" t="s">
        <v>35</v>
      </c>
      <c r="C34" s="12">
        <v>1</v>
      </c>
      <c r="D34" s="12"/>
      <c r="E34" s="15"/>
      <c r="F34" s="12"/>
      <c r="IV34" s="2"/>
    </row>
    <row r="35" spans="1:256" s="11" customFormat="1" ht="14" x14ac:dyDescent="0.3">
      <c r="A35" s="12">
        <v>12</v>
      </c>
      <c r="B35" s="19" t="s">
        <v>36</v>
      </c>
      <c r="C35" s="12">
        <v>1</v>
      </c>
      <c r="D35" s="12"/>
      <c r="E35" s="15"/>
      <c r="F35" s="12"/>
      <c r="IV35" s="2"/>
    </row>
    <row r="36" spans="1:256" s="11" customFormat="1" ht="28" x14ac:dyDescent="0.3">
      <c r="A36" s="20">
        <v>13</v>
      </c>
      <c r="B36" s="18" t="s">
        <v>37</v>
      </c>
      <c r="C36" s="20">
        <v>1</v>
      </c>
      <c r="D36" s="20"/>
      <c r="E36" s="15"/>
      <c r="F36" s="20"/>
      <c r="G36" s="22"/>
      <c r="IV36" s="2"/>
    </row>
    <row r="37" spans="1:256" s="11" customFormat="1" ht="28" x14ac:dyDescent="0.3">
      <c r="A37" s="12">
        <v>14</v>
      </c>
      <c r="B37" s="19" t="s">
        <v>38</v>
      </c>
      <c r="C37" s="12">
        <v>1</v>
      </c>
      <c r="D37" s="12"/>
      <c r="E37" s="15"/>
      <c r="F37" s="12"/>
      <c r="IV37" s="2"/>
    </row>
    <row r="38" spans="1:256" s="11" customFormat="1" ht="28" x14ac:dyDescent="0.3">
      <c r="A38" s="12">
        <v>15</v>
      </c>
      <c r="B38" s="19" t="s">
        <v>39</v>
      </c>
      <c r="C38" s="12">
        <v>1</v>
      </c>
      <c r="D38" s="12"/>
      <c r="E38" s="15"/>
      <c r="F38" s="12"/>
      <c r="IV38" s="2"/>
    </row>
    <row r="39" spans="1:256" s="11" customFormat="1" ht="14" x14ac:dyDescent="0.3">
      <c r="A39" s="12">
        <v>16</v>
      </c>
      <c r="B39" s="19" t="s">
        <v>40</v>
      </c>
      <c r="C39" s="12">
        <v>1</v>
      </c>
      <c r="D39" s="12"/>
      <c r="E39" s="15"/>
      <c r="F39" s="12"/>
      <c r="IV39" s="2"/>
    </row>
    <row r="40" spans="1:256" s="11" customFormat="1" ht="28" x14ac:dyDescent="0.3">
      <c r="A40" s="12">
        <v>17</v>
      </c>
      <c r="B40" s="23" t="s">
        <v>41</v>
      </c>
      <c r="C40" s="12">
        <v>1</v>
      </c>
      <c r="D40" s="12"/>
      <c r="E40" s="15"/>
      <c r="F40" s="12"/>
      <c r="IV40" s="2"/>
    </row>
    <row r="41" spans="1:256" s="11" customFormat="1" ht="14" x14ac:dyDescent="0.3">
      <c r="A41" s="12"/>
      <c r="B41" s="23"/>
      <c r="C41" s="12"/>
      <c r="D41" s="12"/>
      <c r="E41" s="12"/>
      <c r="F41" s="12"/>
      <c r="IV41" s="2"/>
    </row>
    <row r="42" spans="1:256" s="27" customFormat="1" ht="14" x14ac:dyDescent="0.3">
      <c r="A42" s="24"/>
      <c r="B42" s="25" t="s">
        <v>42</v>
      </c>
      <c r="C42" s="26">
        <f>SUM(C24:C40)</f>
        <v>17</v>
      </c>
      <c r="D42" s="26">
        <f>SUM(D24:D40)</f>
        <v>0</v>
      </c>
      <c r="E42" s="26">
        <f>SUM(E24:E40)</f>
        <v>0</v>
      </c>
      <c r="F42" s="26">
        <f>SUM(F24:F40)</f>
        <v>0</v>
      </c>
      <c r="IV42" s="28"/>
    </row>
    <row r="43" spans="1:256" s="11" customFormat="1" ht="14" x14ac:dyDescent="0.3">
      <c r="A43" s="12"/>
      <c r="B43" s="23"/>
      <c r="C43" s="12"/>
      <c r="D43" s="12"/>
      <c r="E43" s="12"/>
      <c r="F43" s="12"/>
      <c r="IV43" s="2"/>
    </row>
    <row r="44" spans="1:256" s="11" customFormat="1" ht="14" x14ac:dyDescent="0.3">
      <c r="A44" s="13" t="s">
        <v>43</v>
      </c>
      <c r="B44" s="14" t="s">
        <v>44</v>
      </c>
      <c r="C44" s="13" t="s">
        <v>24</v>
      </c>
      <c r="D44" s="3" t="s">
        <v>137</v>
      </c>
      <c r="E44" s="4" t="s">
        <v>2</v>
      </c>
      <c r="F44" s="5" t="s">
        <v>3</v>
      </c>
      <c r="IV44" s="2"/>
    </row>
    <row r="45" spans="1:256" s="11" customFormat="1" ht="28" x14ac:dyDescent="0.3">
      <c r="A45" s="12">
        <v>1</v>
      </c>
      <c r="B45" s="23" t="s">
        <v>45</v>
      </c>
      <c r="C45" s="12">
        <v>1</v>
      </c>
      <c r="D45" s="12"/>
      <c r="E45" s="15"/>
      <c r="F45" s="12"/>
      <c r="IV45" s="2"/>
    </row>
    <row r="46" spans="1:256" s="11" customFormat="1" ht="14" x14ac:dyDescent="0.3">
      <c r="A46" s="12">
        <v>2</v>
      </c>
      <c r="B46" s="23" t="s">
        <v>46</v>
      </c>
      <c r="C46" s="12">
        <v>1</v>
      </c>
      <c r="D46" s="12"/>
      <c r="E46" s="15"/>
      <c r="F46" s="12"/>
      <c r="IV46" s="2"/>
    </row>
    <row r="47" spans="1:256" s="11" customFormat="1" ht="28" x14ac:dyDescent="0.3">
      <c r="A47" s="12">
        <v>3</v>
      </c>
      <c r="B47" s="29" t="s">
        <v>47</v>
      </c>
      <c r="C47" s="12">
        <v>1</v>
      </c>
      <c r="D47" s="12"/>
      <c r="E47" s="15"/>
      <c r="F47" s="12"/>
      <c r="IV47" s="2"/>
    </row>
    <row r="48" spans="1:256" s="11" customFormat="1" ht="28" x14ac:dyDescent="0.3">
      <c r="A48" s="12">
        <v>4</v>
      </c>
      <c r="B48" s="30" t="s">
        <v>48</v>
      </c>
      <c r="C48" s="12">
        <v>1</v>
      </c>
      <c r="D48" s="24" t="s">
        <v>21</v>
      </c>
      <c r="E48" s="24" t="s">
        <v>21</v>
      </c>
      <c r="F48" s="12"/>
      <c r="IV48" s="2"/>
    </row>
    <row r="49" spans="1:256" s="11" customFormat="1" ht="28" x14ac:dyDescent="0.3">
      <c r="A49" s="12">
        <v>5</v>
      </c>
      <c r="B49" s="23" t="s">
        <v>49</v>
      </c>
      <c r="C49" s="12">
        <v>1</v>
      </c>
      <c r="D49" s="12"/>
      <c r="E49" s="15"/>
      <c r="F49" s="12"/>
      <c r="IV49" s="2"/>
    </row>
    <row r="50" spans="1:256" s="11" customFormat="1" ht="28" x14ac:dyDescent="0.3">
      <c r="A50" s="12">
        <v>6</v>
      </c>
      <c r="B50" s="23" t="s">
        <v>50</v>
      </c>
      <c r="C50" s="12">
        <v>1</v>
      </c>
      <c r="D50" s="24" t="s">
        <v>21</v>
      </c>
      <c r="E50" s="24" t="s">
        <v>21</v>
      </c>
      <c r="F50" s="12"/>
      <c r="IV50" s="2"/>
    </row>
    <row r="51" spans="1:256" s="11" customFormat="1" ht="14" x14ac:dyDescent="0.3">
      <c r="A51" s="12"/>
      <c r="B51" s="23"/>
      <c r="C51" s="12"/>
      <c r="D51" s="12"/>
      <c r="E51" s="12"/>
      <c r="F51" s="12"/>
      <c r="IV51" s="2"/>
    </row>
    <row r="52" spans="1:256" s="27" customFormat="1" ht="14" x14ac:dyDescent="0.3">
      <c r="A52" s="24"/>
      <c r="B52" s="25" t="s">
        <v>51</v>
      </c>
      <c r="C52" s="26">
        <f>SUM(C45:C50)</f>
        <v>6</v>
      </c>
      <c r="D52" s="26">
        <f>SUM(D45:D50)</f>
        <v>0</v>
      </c>
      <c r="E52" s="26">
        <f>SUM(E45:E50)</f>
        <v>0</v>
      </c>
      <c r="F52" s="26">
        <f>SUM(F45:F50)</f>
        <v>0</v>
      </c>
      <c r="IV52" s="28"/>
    </row>
    <row r="53" spans="1:256" s="11" customFormat="1" ht="14" x14ac:dyDescent="0.3">
      <c r="A53" s="12"/>
      <c r="B53" s="23"/>
      <c r="C53" s="12"/>
      <c r="D53" s="12"/>
      <c r="E53" s="12"/>
      <c r="F53" s="12"/>
      <c r="IV53" s="2"/>
    </row>
    <row r="54" spans="1:256" s="11" customFormat="1" ht="14" x14ac:dyDescent="0.3">
      <c r="A54" s="13" t="s">
        <v>52</v>
      </c>
      <c r="B54" s="14" t="s">
        <v>53</v>
      </c>
      <c r="C54" s="13" t="s">
        <v>24</v>
      </c>
      <c r="D54" s="3" t="s">
        <v>137</v>
      </c>
      <c r="E54" s="4" t="s">
        <v>2</v>
      </c>
      <c r="F54" s="5" t="s">
        <v>3</v>
      </c>
      <c r="IV54" s="2"/>
    </row>
    <row r="55" spans="1:256" s="11" customFormat="1" ht="28" x14ac:dyDescent="0.3">
      <c r="A55" s="15">
        <v>1</v>
      </c>
      <c r="B55" s="30" t="s">
        <v>54</v>
      </c>
      <c r="C55" s="12">
        <v>1</v>
      </c>
      <c r="D55" s="12"/>
      <c r="E55" s="15"/>
      <c r="F55" s="12"/>
      <c r="IV55" s="2"/>
    </row>
    <row r="56" spans="1:256" s="11" customFormat="1" ht="28" x14ac:dyDescent="0.3">
      <c r="A56" s="17">
        <v>2</v>
      </c>
      <c r="B56" s="29" t="s">
        <v>55</v>
      </c>
      <c r="C56" s="12">
        <v>1</v>
      </c>
      <c r="D56" s="12"/>
      <c r="E56" s="15"/>
      <c r="F56" s="12"/>
      <c r="IV56" s="2"/>
    </row>
    <row r="57" spans="1:256" s="11" customFormat="1" ht="14" x14ac:dyDescent="0.3">
      <c r="A57" s="12"/>
      <c r="B57" s="23"/>
      <c r="C57" s="31"/>
      <c r="D57" s="31"/>
      <c r="E57" s="31"/>
      <c r="F57" s="31"/>
      <c r="IV57" s="2"/>
    </row>
    <row r="58" spans="1:256" s="27" customFormat="1" ht="14" x14ac:dyDescent="0.3">
      <c r="A58" s="24"/>
      <c r="B58" s="25" t="s">
        <v>56</v>
      </c>
      <c r="C58" s="26">
        <f>SUM(C55:C56)</f>
        <v>2</v>
      </c>
      <c r="D58" s="26">
        <f>SUM(D55:D56)</f>
        <v>0</v>
      </c>
      <c r="E58" s="26">
        <f>SUM(E55:E56)</f>
        <v>0</v>
      </c>
      <c r="F58" s="26">
        <f>SUM(F55:F56)</f>
        <v>0</v>
      </c>
      <c r="IV58" s="28"/>
    </row>
    <row r="59" spans="1:256" s="11" customFormat="1" ht="14" x14ac:dyDescent="0.3">
      <c r="A59" s="12"/>
      <c r="B59" s="23"/>
      <c r="C59" s="31"/>
      <c r="D59" s="31"/>
      <c r="E59" s="31"/>
      <c r="F59" s="31"/>
      <c r="IV59" s="2"/>
    </row>
    <row r="60" spans="1:256" s="11" customFormat="1" ht="14" x14ac:dyDescent="0.3">
      <c r="A60" s="13" t="s">
        <v>57</v>
      </c>
      <c r="B60" s="14" t="s">
        <v>58</v>
      </c>
      <c r="C60" s="13" t="s">
        <v>24</v>
      </c>
      <c r="D60" s="3" t="s">
        <v>137</v>
      </c>
      <c r="E60" s="4" t="s">
        <v>2</v>
      </c>
      <c r="F60" s="5" t="s">
        <v>3</v>
      </c>
      <c r="IV60" s="2"/>
    </row>
    <row r="61" spans="1:256" s="11" customFormat="1" ht="28" x14ac:dyDescent="0.3">
      <c r="A61" s="12">
        <v>1</v>
      </c>
      <c r="B61" s="23" t="s">
        <v>59</v>
      </c>
      <c r="C61" s="12">
        <v>1</v>
      </c>
      <c r="D61" s="12"/>
      <c r="E61" s="15"/>
      <c r="F61" s="12"/>
      <c r="IV61" s="2"/>
    </row>
    <row r="62" spans="1:256" s="11" customFormat="1" ht="28" x14ac:dyDescent="0.3">
      <c r="A62" s="15">
        <v>2</v>
      </c>
      <c r="B62" s="30" t="s">
        <v>60</v>
      </c>
      <c r="C62" s="12">
        <v>1</v>
      </c>
      <c r="D62" s="12"/>
      <c r="E62" s="15"/>
      <c r="F62" s="12"/>
      <c r="IV62" s="2"/>
    </row>
    <row r="63" spans="1:256" s="11" customFormat="1" ht="14" x14ac:dyDescent="0.3">
      <c r="A63" s="17">
        <v>3</v>
      </c>
      <c r="B63" s="29" t="s">
        <v>61</v>
      </c>
      <c r="C63" s="12">
        <v>1</v>
      </c>
      <c r="D63" s="12"/>
      <c r="E63" s="15"/>
      <c r="F63" s="12"/>
      <c r="IV63" s="2"/>
    </row>
    <row r="64" spans="1:256" s="11" customFormat="1" ht="42" x14ac:dyDescent="0.3">
      <c r="A64" s="17">
        <v>4</v>
      </c>
      <c r="B64" s="29" t="s">
        <v>62</v>
      </c>
      <c r="C64" s="17">
        <v>1</v>
      </c>
      <c r="D64" s="17"/>
      <c r="E64" s="15"/>
      <c r="F64" s="17"/>
      <c r="IV64" s="2"/>
    </row>
    <row r="65" spans="1:256" s="11" customFormat="1" ht="28" x14ac:dyDescent="0.3">
      <c r="A65" s="17">
        <v>5</v>
      </c>
      <c r="B65" s="29" t="s">
        <v>63</v>
      </c>
      <c r="C65" s="17">
        <v>1</v>
      </c>
      <c r="D65" s="17"/>
      <c r="E65" s="15"/>
      <c r="F65" s="17"/>
      <c r="IV65" s="2"/>
    </row>
    <row r="66" spans="1:256" s="11" customFormat="1" ht="42" x14ac:dyDescent="0.3">
      <c r="A66" s="17">
        <v>6</v>
      </c>
      <c r="B66" s="30" t="s">
        <v>64</v>
      </c>
      <c r="C66" s="12">
        <v>1</v>
      </c>
      <c r="D66" s="12"/>
      <c r="E66" s="15"/>
      <c r="F66" s="12"/>
      <c r="IV66" s="2"/>
    </row>
    <row r="67" spans="1:256" s="11" customFormat="1" ht="42" x14ac:dyDescent="0.3">
      <c r="A67" s="17">
        <v>7</v>
      </c>
      <c r="B67" s="23" t="s">
        <v>65</v>
      </c>
      <c r="C67" s="12">
        <v>1</v>
      </c>
      <c r="D67" s="12"/>
      <c r="E67" s="15"/>
      <c r="F67" s="12"/>
      <c r="IV67" s="2"/>
    </row>
    <row r="68" spans="1:256" s="11" customFormat="1" ht="28" x14ac:dyDescent="0.3">
      <c r="A68" s="17">
        <v>8</v>
      </c>
      <c r="B68" s="30" t="s">
        <v>66</v>
      </c>
      <c r="C68" s="12">
        <v>1</v>
      </c>
      <c r="D68" s="12"/>
      <c r="E68" s="15"/>
      <c r="F68" s="12"/>
      <c r="IV68" s="2"/>
    </row>
    <row r="69" spans="1:256" s="11" customFormat="1" ht="28" x14ac:dyDescent="0.3">
      <c r="A69" s="17">
        <v>9</v>
      </c>
      <c r="B69" s="30" t="s">
        <v>67</v>
      </c>
      <c r="C69" s="12">
        <v>1</v>
      </c>
      <c r="D69" s="12"/>
      <c r="E69" s="15"/>
      <c r="F69" s="12"/>
      <c r="IV69" s="2"/>
    </row>
    <row r="70" spans="1:256" s="11" customFormat="1" ht="14" x14ac:dyDescent="0.3">
      <c r="A70" s="12"/>
      <c r="B70" s="23"/>
      <c r="C70" s="12"/>
      <c r="D70" s="12"/>
      <c r="E70" s="12"/>
      <c r="F70" s="12"/>
      <c r="IV70" s="2"/>
    </row>
    <row r="71" spans="1:256" s="27" customFormat="1" ht="14" x14ac:dyDescent="0.3">
      <c r="A71" s="24"/>
      <c r="B71" s="25" t="s">
        <v>68</v>
      </c>
      <c r="C71" s="26">
        <f>SUM(C61:C69)</f>
        <v>9</v>
      </c>
      <c r="D71" s="26">
        <f>SUM(D61:D69)</f>
        <v>0</v>
      </c>
      <c r="E71" s="26">
        <f>SUM(E61:E69)</f>
        <v>0</v>
      </c>
      <c r="F71" s="26">
        <f>SUM(F61:F69)</f>
        <v>0</v>
      </c>
      <c r="IV71" s="28"/>
    </row>
    <row r="72" spans="1:256" s="11" customFormat="1" ht="14" x14ac:dyDescent="0.3">
      <c r="A72" s="12"/>
      <c r="B72" s="32"/>
      <c r="C72" s="12"/>
      <c r="D72" s="12"/>
      <c r="E72" s="12"/>
      <c r="F72" s="12"/>
      <c r="IV72" s="2"/>
    </row>
    <row r="73" spans="1:256" s="11" customFormat="1" ht="14" x14ac:dyDescent="0.3">
      <c r="A73" s="13" t="s">
        <v>69</v>
      </c>
      <c r="B73" s="14" t="s">
        <v>70</v>
      </c>
      <c r="C73" s="13" t="s">
        <v>24</v>
      </c>
      <c r="D73" s="3" t="s">
        <v>137</v>
      </c>
      <c r="E73" s="4" t="s">
        <v>2</v>
      </c>
      <c r="F73" s="5" t="s">
        <v>3</v>
      </c>
      <c r="IV73" s="2"/>
    </row>
    <row r="74" spans="1:256" s="11" customFormat="1" ht="28" x14ac:dyDescent="0.3">
      <c r="A74" s="12">
        <v>1</v>
      </c>
      <c r="B74" s="23" t="s">
        <v>71</v>
      </c>
      <c r="C74" s="12">
        <v>1</v>
      </c>
      <c r="D74" s="12"/>
      <c r="E74" s="15"/>
      <c r="F74" s="12"/>
      <c r="IV74" s="2"/>
    </row>
    <row r="75" spans="1:256" s="11" customFormat="1" ht="28" x14ac:dyDescent="0.3">
      <c r="A75" s="12">
        <v>2</v>
      </c>
      <c r="B75" s="23" t="s">
        <v>72</v>
      </c>
      <c r="C75" s="12">
        <v>1</v>
      </c>
      <c r="D75" s="12"/>
      <c r="E75" s="15"/>
      <c r="F75" s="12"/>
      <c r="IV75" s="2"/>
    </row>
    <row r="76" spans="1:256" s="11" customFormat="1" ht="14" x14ac:dyDescent="0.3">
      <c r="A76" s="12"/>
      <c r="B76" s="23"/>
      <c r="C76" s="31"/>
      <c r="D76" s="31"/>
      <c r="E76" s="31"/>
      <c r="F76" s="31"/>
      <c r="IV76" s="2"/>
    </row>
    <row r="77" spans="1:256" s="27" customFormat="1" ht="14" x14ac:dyDescent="0.3">
      <c r="A77" s="24"/>
      <c r="B77" s="33" t="s">
        <v>73</v>
      </c>
      <c r="C77" s="34">
        <f>SUM(C74:C75)</f>
        <v>2</v>
      </c>
      <c r="D77" s="34">
        <f>SUM(D74:D75)</f>
        <v>0</v>
      </c>
      <c r="E77" s="34">
        <f>SUM(E74:E75)</f>
        <v>0</v>
      </c>
      <c r="F77" s="34">
        <f>SUM(F74:F75)</f>
        <v>0</v>
      </c>
      <c r="IV77" s="28"/>
    </row>
    <row r="78" spans="1:256" s="11" customFormat="1" ht="14" x14ac:dyDescent="0.3">
      <c r="A78" s="12"/>
      <c r="B78" s="23"/>
      <c r="C78" s="31"/>
      <c r="D78" s="31"/>
      <c r="E78" s="31"/>
      <c r="F78" s="31"/>
      <c r="IV78" s="2"/>
    </row>
    <row r="79" spans="1:256" s="11" customFormat="1" ht="14" x14ac:dyDescent="0.3">
      <c r="A79" s="13" t="s">
        <v>74</v>
      </c>
      <c r="B79" s="14" t="s">
        <v>75</v>
      </c>
      <c r="C79" s="13" t="s">
        <v>24</v>
      </c>
      <c r="D79" s="3" t="s">
        <v>137</v>
      </c>
      <c r="E79" s="4" t="s">
        <v>2</v>
      </c>
      <c r="F79" s="5" t="s">
        <v>3</v>
      </c>
      <c r="IV79" s="2"/>
    </row>
    <row r="80" spans="1:256" s="11" customFormat="1" ht="42" x14ac:dyDescent="0.3">
      <c r="A80" s="15">
        <v>1</v>
      </c>
      <c r="B80" s="30" t="s">
        <v>76</v>
      </c>
      <c r="C80" s="12">
        <v>1</v>
      </c>
      <c r="D80" s="12"/>
      <c r="E80" s="15"/>
      <c r="F80" s="12"/>
      <c r="IV80" s="2"/>
    </row>
    <row r="81" spans="1:256" s="11" customFormat="1" ht="56" x14ac:dyDescent="0.3">
      <c r="A81" s="20">
        <v>2</v>
      </c>
      <c r="B81" s="35" t="s">
        <v>77</v>
      </c>
      <c r="C81" s="20">
        <v>1</v>
      </c>
      <c r="D81" s="12"/>
      <c r="E81" s="15"/>
      <c r="F81" s="12"/>
      <c r="IV81" s="2"/>
    </row>
    <row r="82" spans="1:256" s="11" customFormat="1" ht="28" x14ac:dyDescent="0.3">
      <c r="A82" s="12">
        <v>3</v>
      </c>
      <c r="B82" s="23" t="s">
        <v>78</v>
      </c>
      <c r="C82" s="12">
        <v>1</v>
      </c>
      <c r="D82" s="12"/>
      <c r="E82" s="15"/>
      <c r="F82" s="12"/>
      <c r="IV82" s="2"/>
    </row>
    <row r="83" spans="1:256" s="11" customFormat="1" ht="14" x14ac:dyDescent="0.3">
      <c r="A83" s="36">
        <v>4</v>
      </c>
      <c r="B83" s="37" t="s">
        <v>79</v>
      </c>
      <c r="C83" s="36">
        <v>1</v>
      </c>
      <c r="D83" s="12"/>
      <c r="E83" s="15"/>
      <c r="F83" s="12"/>
      <c r="IV83" s="2"/>
    </row>
    <row r="84" spans="1:256" s="11" customFormat="1" ht="14" x14ac:dyDescent="0.3">
      <c r="A84" s="36">
        <v>5</v>
      </c>
      <c r="B84" s="37" t="s">
        <v>80</v>
      </c>
      <c r="C84" s="36">
        <v>1</v>
      </c>
      <c r="D84" s="20"/>
      <c r="E84" s="15"/>
      <c r="F84" s="20"/>
      <c r="IV84" s="2"/>
    </row>
    <row r="85" spans="1:256" s="11" customFormat="1" ht="28" x14ac:dyDescent="0.3">
      <c r="A85" s="36">
        <v>6</v>
      </c>
      <c r="B85" s="35" t="s">
        <v>81</v>
      </c>
      <c r="C85" s="20">
        <v>1</v>
      </c>
      <c r="D85" s="12"/>
      <c r="E85" s="15"/>
      <c r="F85" s="12"/>
      <c r="IV85" s="2"/>
    </row>
    <row r="86" spans="1:256" s="11" customFormat="1" ht="28" x14ac:dyDescent="0.3">
      <c r="A86" s="36">
        <v>7</v>
      </c>
      <c r="B86" s="35" t="s">
        <v>82</v>
      </c>
      <c r="C86" s="20">
        <v>1</v>
      </c>
      <c r="D86" s="31"/>
      <c r="E86" s="15"/>
      <c r="F86" s="31"/>
      <c r="IV86" s="2"/>
    </row>
    <row r="87" spans="1:256" s="11" customFormat="1" ht="14" x14ac:dyDescent="0.3">
      <c r="A87" s="12"/>
      <c r="B87" s="23"/>
      <c r="C87" s="31"/>
      <c r="D87" s="31"/>
      <c r="E87" s="31"/>
      <c r="F87" s="31"/>
      <c r="IV87" s="2"/>
    </row>
    <row r="88" spans="1:256" s="27" customFormat="1" ht="14" x14ac:dyDescent="0.3">
      <c r="A88" s="24"/>
      <c r="B88" s="25" t="s">
        <v>83</v>
      </c>
      <c r="C88" s="26">
        <f>SUM(C80:C86)</f>
        <v>7</v>
      </c>
      <c r="D88" s="26">
        <f>SUM(D80:D86)</f>
        <v>0</v>
      </c>
      <c r="E88" s="26">
        <f>SUM(E80:E86)</f>
        <v>0</v>
      </c>
      <c r="F88" s="26">
        <f>SUM(F80:F86)</f>
        <v>0</v>
      </c>
      <c r="IV88" s="28"/>
    </row>
    <row r="89" spans="1:256" s="11" customFormat="1" ht="14" x14ac:dyDescent="0.3">
      <c r="A89" s="12"/>
      <c r="B89" s="23"/>
      <c r="C89" s="31"/>
      <c r="D89" s="31"/>
      <c r="E89" s="31"/>
      <c r="F89" s="31"/>
      <c r="IV89" s="2"/>
    </row>
    <row r="90" spans="1:256" s="11" customFormat="1" ht="14" x14ac:dyDescent="0.3">
      <c r="A90" s="13" t="s">
        <v>84</v>
      </c>
      <c r="B90" s="14" t="s">
        <v>85</v>
      </c>
      <c r="C90" s="13" t="s">
        <v>24</v>
      </c>
      <c r="D90" s="3" t="s">
        <v>137</v>
      </c>
      <c r="E90" s="4" t="s">
        <v>2</v>
      </c>
      <c r="F90" s="5" t="s">
        <v>3</v>
      </c>
      <c r="IV90" s="2"/>
    </row>
    <row r="91" spans="1:256" s="11" customFormat="1" ht="37.75" customHeight="1" x14ac:dyDescent="0.3">
      <c r="A91" s="12">
        <v>1</v>
      </c>
      <c r="B91" s="23" t="s">
        <v>86</v>
      </c>
      <c r="C91" s="12">
        <v>1</v>
      </c>
      <c r="D91" s="12"/>
      <c r="E91" s="15"/>
      <c r="F91" s="12"/>
      <c r="IV91" s="2"/>
    </row>
    <row r="92" spans="1:256" s="11" customFormat="1" ht="14" x14ac:dyDescent="0.3">
      <c r="A92" s="15">
        <v>2</v>
      </c>
      <c r="B92" s="30" t="s">
        <v>87</v>
      </c>
      <c r="C92" s="12">
        <v>1</v>
      </c>
      <c r="D92" s="12"/>
      <c r="E92" s="15"/>
      <c r="F92" s="12"/>
      <c r="IV92" s="2"/>
    </row>
    <row r="93" spans="1:256" s="11" customFormat="1" ht="14" x14ac:dyDescent="0.3">
      <c r="A93" s="15">
        <v>3</v>
      </c>
      <c r="B93" s="30" t="s">
        <v>88</v>
      </c>
      <c r="C93" s="12">
        <v>1</v>
      </c>
      <c r="D93" s="24" t="s">
        <v>21</v>
      </c>
      <c r="E93" s="15"/>
      <c r="F93" s="12"/>
      <c r="IV93" s="2"/>
    </row>
    <row r="94" spans="1:256" s="11" customFormat="1" ht="28" x14ac:dyDescent="0.3">
      <c r="A94" s="12">
        <v>4</v>
      </c>
      <c r="B94" s="23" t="s">
        <v>89</v>
      </c>
      <c r="C94" s="12">
        <v>1</v>
      </c>
      <c r="D94" s="12"/>
      <c r="E94" s="15"/>
      <c r="F94" s="12"/>
      <c r="IV94" s="2"/>
    </row>
    <row r="95" spans="1:256" s="11" customFormat="1" ht="42" x14ac:dyDescent="0.3">
      <c r="A95" s="15">
        <v>5</v>
      </c>
      <c r="B95" s="30" t="s">
        <v>90</v>
      </c>
      <c r="C95" s="15">
        <v>1</v>
      </c>
      <c r="D95" s="12"/>
      <c r="E95" s="15"/>
      <c r="F95" s="12"/>
      <c r="IV95" s="2"/>
    </row>
    <row r="96" spans="1:256" s="11" customFormat="1" ht="14" x14ac:dyDescent="0.3">
      <c r="A96" s="15">
        <v>6</v>
      </c>
      <c r="B96" s="30" t="s">
        <v>91</v>
      </c>
      <c r="C96" s="15">
        <v>1</v>
      </c>
      <c r="D96" s="12"/>
      <c r="E96" s="15"/>
      <c r="F96" s="12"/>
      <c r="IV96" s="2"/>
    </row>
    <row r="97" spans="1:256" s="11" customFormat="1" ht="14" x14ac:dyDescent="0.3">
      <c r="A97" s="15">
        <v>7</v>
      </c>
      <c r="B97" s="30" t="s">
        <v>92</v>
      </c>
      <c r="C97" s="15">
        <v>1</v>
      </c>
      <c r="D97" s="12"/>
      <c r="E97" s="15"/>
      <c r="F97" s="12"/>
      <c r="IV97" s="2"/>
    </row>
    <row r="98" spans="1:256" s="11" customFormat="1" ht="14" x14ac:dyDescent="0.3">
      <c r="A98" s="15">
        <v>8</v>
      </c>
      <c r="B98" s="30" t="s">
        <v>93</v>
      </c>
      <c r="C98" s="15">
        <v>1</v>
      </c>
      <c r="D98" s="12"/>
      <c r="E98" s="15"/>
      <c r="F98" s="12"/>
      <c r="IV98" s="2"/>
    </row>
    <row r="99" spans="1:256" s="11" customFormat="1" ht="14" x14ac:dyDescent="0.3">
      <c r="A99" s="15">
        <v>9</v>
      </c>
      <c r="B99" s="30" t="s">
        <v>94</v>
      </c>
      <c r="C99" s="15">
        <v>1</v>
      </c>
      <c r="D99" s="12"/>
      <c r="E99" s="15"/>
      <c r="F99" s="12"/>
      <c r="IV99" s="2"/>
    </row>
    <row r="100" spans="1:256" s="11" customFormat="1" ht="28" x14ac:dyDescent="0.3">
      <c r="A100" s="12">
        <v>10</v>
      </c>
      <c r="B100" s="23" t="s">
        <v>95</v>
      </c>
      <c r="C100" s="12">
        <v>1</v>
      </c>
      <c r="D100" s="12"/>
      <c r="E100" s="15"/>
      <c r="F100" s="12"/>
      <c r="IV100" s="2"/>
    </row>
    <row r="101" spans="1:256" s="11" customFormat="1" ht="29.5" x14ac:dyDescent="0.3">
      <c r="A101" s="15">
        <v>11</v>
      </c>
      <c r="B101" s="30" t="s">
        <v>96</v>
      </c>
      <c r="C101" s="12">
        <v>1</v>
      </c>
      <c r="D101" s="12"/>
      <c r="E101" s="15"/>
      <c r="F101" s="12"/>
      <c r="IV101" s="2"/>
    </row>
    <row r="102" spans="1:256" s="11" customFormat="1" ht="28" x14ac:dyDescent="0.3">
      <c r="A102" s="15">
        <v>12</v>
      </c>
      <c r="B102" s="30" t="s">
        <v>97</v>
      </c>
      <c r="C102" s="12">
        <v>1</v>
      </c>
      <c r="D102" s="12"/>
      <c r="E102" s="15"/>
      <c r="F102" s="12"/>
      <c r="IV102" s="2"/>
    </row>
    <row r="103" spans="1:256" s="11" customFormat="1" ht="14" x14ac:dyDescent="0.3">
      <c r="A103" s="15">
        <v>13</v>
      </c>
      <c r="B103" s="30" t="s">
        <v>98</v>
      </c>
      <c r="C103" s="12">
        <v>1</v>
      </c>
      <c r="D103" s="12"/>
      <c r="E103" s="15"/>
      <c r="F103" s="12"/>
      <c r="IV103" s="2"/>
    </row>
    <row r="104" spans="1:256" s="11" customFormat="1" ht="14" x14ac:dyDescent="0.3">
      <c r="A104" s="12"/>
      <c r="B104" s="23"/>
      <c r="C104" s="12"/>
      <c r="D104" s="12"/>
      <c r="E104" s="12"/>
      <c r="F104" s="12"/>
      <c r="IV104" s="2"/>
    </row>
    <row r="105" spans="1:256" s="27" customFormat="1" ht="14" x14ac:dyDescent="0.3">
      <c r="A105" s="24"/>
      <c r="B105" s="25" t="s">
        <v>99</v>
      </c>
      <c r="C105" s="26">
        <f>SUM(C91:C103)</f>
        <v>13</v>
      </c>
      <c r="D105" s="26">
        <f>SUM(D91:D103)</f>
        <v>0</v>
      </c>
      <c r="E105" s="26">
        <f>SUM(E91:E103)</f>
        <v>0</v>
      </c>
      <c r="F105" s="26">
        <f>SUM(F91:F103)</f>
        <v>0</v>
      </c>
      <c r="IV105" s="28"/>
    </row>
    <row r="106" spans="1:256" s="11" customFormat="1" ht="14" x14ac:dyDescent="0.3">
      <c r="A106" s="20"/>
      <c r="B106" s="38"/>
      <c r="C106" s="20"/>
      <c r="D106" s="20"/>
      <c r="E106" s="20"/>
      <c r="F106" s="20"/>
      <c r="IV106" s="2"/>
    </row>
    <row r="107" spans="1:256" s="11" customFormat="1" ht="14" x14ac:dyDescent="0.3">
      <c r="A107" s="13" t="s">
        <v>100</v>
      </c>
      <c r="B107" s="14" t="s">
        <v>101</v>
      </c>
      <c r="C107" s="13" t="s">
        <v>24</v>
      </c>
      <c r="D107" s="3" t="s">
        <v>137</v>
      </c>
      <c r="E107" s="4" t="s">
        <v>2</v>
      </c>
      <c r="F107" s="5" t="s">
        <v>3</v>
      </c>
      <c r="IV107" s="2"/>
    </row>
    <row r="108" spans="1:256" s="11" customFormat="1" ht="28" x14ac:dyDescent="0.3">
      <c r="A108" s="12">
        <v>1</v>
      </c>
      <c r="B108" s="23" t="s">
        <v>102</v>
      </c>
      <c r="C108" s="12">
        <v>1</v>
      </c>
      <c r="D108" s="12"/>
      <c r="E108" s="12"/>
      <c r="F108" s="12"/>
      <c r="IV108" s="2"/>
    </row>
    <row r="109" spans="1:256" s="11" customFormat="1" ht="28" x14ac:dyDescent="0.3">
      <c r="A109" s="12">
        <v>2</v>
      </c>
      <c r="B109" s="23" t="s">
        <v>103</v>
      </c>
      <c r="C109" s="12">
        <v>1</v>
      </c>
      <c r="D109" s="12"/>
      <c r="E109" s="12"/>
      <c r="F109" s="12"/>
      <c r="IV109" s="2"/>
    </row>
    <row r="110" spans="1:256" s="11" customFormat="1" ht="28" x14ac:dyDescent="0.3">
      <c r="A110" s="12">
        <v>3</v>
      </c>
      <c r="B110" s="30" t="s">
        <v>104</v>
      </c>
      <c r="C110" s="12">
        <v>1</v>
      </c>
      <c r="D110" s="12"/>
      <c r="E110" s="15"/>
      <c r="F110" s="12"/>
      <c r="IV110" s="2"/>
    </row>
    <row r="111" spans="1:256" s="11" customFormat="1" ht="28" x14ac:dyDescent="0.3">
      <c r="A111" s="12">
        <v>4</v>
      </c>
      <c r="B111" s="19" t="s">
        <v>105</v>
      </c>
      <c r="C111" s="12">
        <v>1</v>
      </c>
      <c r="D111" s="12"/>
      <c r="E111" s="15"/>
      <c r="F111" s="12"/>
      <c r="IV111" s="2"/>
    </row>
    <row r="112" spans="1:256" s="11" customFormat="1" ht="14" x14ac:dyDescent="0.3">
      <c r="A112" s="39"/>
      <c r="B112" s="40"/>
      <c r="C112" s="12"/>
      <c r="D112" s="12"/>
      <c r="E112" s="12"/>
      <c r="F112" s="12"/>
      <c r="IV112" s="2"/>
    </row>
    <row r="113" spans="1:256" s="11" customFormat="1" ht="14" x14ac:dyDescent="0.3">
      <c r="A113" s="12"/>
      <c r="B113" s="33" t="s">
        <v>106</v>
      </c>
      <c r="C113" s="34">
        <f>SUM(C108:C112)</f>
        <v>4</v>
      </c>
      <c r="D113" s="34">
        <f>SUM(D108:D112)</f>
        <v>0</v>
      </c>
      <c r="E113" s="34">
        <f>SUM(E108:E112)</f>
        <v>0</v>
      </c>
      <c r="F113" s="34">
        <f>SUM(F108:F112)</f>
        <v>0</v>
      </c>
      <c r="IV113" s="2"/>
    </row>
    <row r="114" spans="1:256" s="11" customFormat="1" ht="14" x14ac:dyDescent="0.3">
      <c r="A114" s="12"/>
      <c r="B114" s="41"/>
      <c r="C114" s="17"/>
      <c r="D114" s="17"/>
      <c r="E114" s="17"/>
      <c r="F114" s="17"/>
      <c r="IV114" s="2"/>
    </row>
    <row r="115" spans="1:256" ht="14" x14ac:dyDescent="0.3">
      <c r="A115" s="42" t="s">
        <v>107</v>
      </c>
      <c r="B115" s="43" t="s">
        <v>108</v>
      </c>
      <c r="C115" s="42" t="s">
        <v>24</v>
      </c>
      <c r="D115" s="3" t="s">
        <v>137</v>
      </c>
      <c r="E115" s="4" t="s">
        <v>2</v>
      </c>
      <c r="F115" s="5" t="s">
        <v>3</v>
      </c>
    </row>
    <row r="116" spans="1:256" ht="28" x14ac:dyDescent="0.3">
      <c r="A116" s="15">
        <v>1</v>
      </c>
      <c r="B116" s="30" t="s">
        <v>109</v>
      </c>
      <c r="C116" s="12"/>
      <c r="D116" s="12"/>
      <c r="E116" s="12"/>
      <c r="F116" s="12"/>
    </row>
    <row r="117" spans="1:256" ht="28" x14ac:dyDescent="0.3">
      <c r="A117" s="15" t="s">
        <v>110</v>
      </c>
      <c r="B117" s="30" t="s">
        <v>111</v>
      </c>
      <c r="C117" s="12">
        <v>1</v>
      </c>
      <c r="D117" s="12"/>
      <c r="E117" s="12"/>
      <c r="F117" s="12"/>
    </row>
    <row r="118" spans="1:256" ht="28" x14ac:dyDescent="0.3">
      <c r="A118" s="15" t="s">
        <v>112</v>
      </c>
      <c r="B118" s="30" t="s">
        <v>113</v>
      </c>
      <c r="C118" s="12">
        <v>1</v>
      </c>
      <c r="D118" s="12"/>
      <c r="E118" s="12"/>
      <c r="F118" s="12"/>
    </row>
    <row r="119" spans="1:256" ht="14" x14ac:dyDescent="0.3">
      <c r="A119" s="39"/>
      <c r="B119" s="40"/>
      <c r="C119" s="12"/>
      <c r="D119" s="12"/>
      <c r="E119" s="12"/>
      <c r="F119" s="12"/>
    </row>
    <row r="120" spans="1:256" s="28" customFormat="1" ht="14" x14ac:dyDescent="0.3">
      <c r="A120" s="24"/>
      <c r="B120" s="33" t="s">
        <v>114</v>
      </c>
      <c r="C120" s="34">
        <f>SUM(C117:C118)</f>
        <v>2</v>
      </c>
      <c r="D120" s="34">
        <f>SUM(D117:D118)</f>
        <v>0</v>
      </c>
      <c r="E120" s="34">
        <f>SUM(E117:E118)</f>
        <v>0</v>
      </c>
      <c r="F120" s="34">
        <f>SUM(F117:F118)</f>
        <v>0</v>
      </c>
    </row>
    <row r="121" spans="1:256" ht="14" x14ac:dyDescent="0.3">
      <c r="A121" s="12"/>
      <c r="B121" s="41"/>
      <c r="C121" s="17"/>
      <c r="D121" s="17"/>
      <c r="E121" s="17"/>
      <c r="F121" s="17"/>
    </row>
  </sheetData>
  <sheetProtection selectLockedCells="1" selectUnlockedCells="1"/>
  <mergeCells count="20">
    <mergeCell ref="A1:F1"/>
    <mergeCell ref="A2:F2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20:C20"/>
    <mergeCell ref="A21:C21"/>
    <mergeCell ref="A14:B14"/>
    <mergeCell ref="A15:B15"/>
    <mergeCell ref="A16:B16"/>
    <mergeCell ref="A17:D17"/>
    <mergeCell ref="A18:C18"/>
    <mergeCell ref="A19:C19"/>
  </mergeCells>
  <pageMargins left="0.78749999999999998" right="0.78749999999999998" top="0.51180555555555551" bottom="0.51180555555555551" header="0.51180555555555551" footer="0.51180555555555551"/>
  <pageSetup paperSize="9" scale="71" orientation="portrait" useFirstPageNumber="1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B9EF-375D-443F-AD92-9DB1A77FB3F0}">
  <dimension ref="B2:O15"/>
  <sheetViews>
    <sheetView zoomScaleNormal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B3" sqref="B3:N3"/>
    </sheetView>
  </sheetViews>
  <sheetFormatPr defaultRowHeight="12.5" x14ac:dyDescent="0.25"/>
  <cols>
    <col min="1" max="1" width="2.7265625" customWidth="1"/>
    <col min="2" max="2" width="6.1796875" bestFit="1" customWidth="1"/>
    <col min="3" max="3" width="6.1796875" customWidth="1"/>
    <col min="4" max="4" width="24.6328125" customWidth="1"/>
    <col min="5" max="8" width="8.81640625" customWidth="1"/>
    <col min="9" max="9" width="6.81640625" bestFit="1" customWidth="1"/>
    <col min="10" max="10" width="9.26953125" bestFit="1" customWidth="1"/>
    <col min="11" max="11" width="11.81640625" bestFit="1" customWidth="1"/>
    <col min="12" max="12" width="6.81640625" bestFit="1" customWidth="1"/>
    <col min="13" max="13" width="6.7265625" bestFit="1" customWidth="1"/>
    <col min="14" max="14" width="11.81640625" bestFit="1" customWidth="1"/>
    <col min="15" max="15" width="24.1796875" customWidth="1"/>
  </cols>
  <sheetData>
    <row r="2" spans="2:15" s="53" customFormat="1" ht="15.5" x14ac:dyDescent="0.35">
      <c r="B2" s="80" t="s">
        <v>119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</row>
    <row r="3" spans="2:15" s="53" customFormat="1" ht="15.5" x14ac:dyDescent="0.35">
      <c r="B3" s="80" t="s">
        <v>130</v>
      </c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</row>
    <row r="4" spans="2:15" s="53" customFormat="1" ht="15.5" x14ac:dyDescent="0.35">
      <c r="B4" s="80" t="s">
        <v>131</v>
      </c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</row>
    <row r="5" spans="2:15" s="53" customFormat="1" ht="15.5" x14ac:dyDescent="0.35"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</row>
    <row r="6" spans="2:15" ht="17.899999999999999" customHeight="1" x14ac:dyDescent="0.25">
      <c r="B6" s="77"/>
      <c r="C6" s="77" t="s">
        <v>120</v>
      </c>
      <c r="D6" s="77" t="s">
        <v>117</v>
      </c>
      <c r="E6" s="72" t="s">
        <v>125</v>
      </c>
      <c r="F6" s="72"/>
      <c r="G6" s="72"/>
      <c r="H6" s="72"/>
      <c r="I6" s="72"/>
      <c r="J6" s="72"/>
      <c r="K6" s="72"/>
      <c r="L6" s="72"/>
      <c r="M6" s="72"/>
      <c r="N6" s="72"/>
    </row>
    <row r="7" spans="2:15" s="54" customFormat="1" ht="17.899999999999999" customHeight="1" x14ac:dyDescent="0.25">
      <c r="B7" s="78"/>
      <c r="C7" s="78"/>
      <c r="D7" s="78"/>
      <c r="E7" s="72" t="s">
        <v>126</v>
      </c>
      <c r="F7" s="72"/>
      <c r="G7" s="72"/>
      <c r="H7" s="72"/>
      <c r="I7" s="72"/>
      <c r="J7" s="72"/>
      <c r="K7" s="72"/>
      <c r="L7" s="72"/>
      <c r="M7" s="72"/>
      <c r="N7" s="72"/>
    </row>
    <row r="8" spans="2:15" s="54" customFormat="1" ht="17.899999999999999" customHeight="1" x14ac:dyDescent="0.25">
      <c r="B8" s="78"/>
      <c r="C8" s="78"/>
      <c r="D8" s="78"/>
      <c r="E8" s="72" t="s">
        <v>133</v>
      </c>
      <c r="F8" s="72" t="s">
        <v>134</v>
      </c>
      <c r="G8" s="72" t="s">
        <v>135</v>
      </c>
      <c r="H8" s="72" t="s">
        <v>136</v>
      </c>
      <c r="I8" s="72" t="s">
        <v>122</v>
      </c>
      <c r="J8" s="72"/>
      <c r="K8" s="72"/>
      <c r="L8" s="72" t="s">
        <v>121</v>
      </c>
      <c r="M8" s="72"/>
      <c r="N8" s="72"/>
    </row>
    <row r="9" spans="2:15" s="54" customFormat="1" ht="17.899999999999999" customHeight="1" x14ac:dyDescent="0.25">
      <c r="B9" s="79"/>
      <c r="C9" s="79"/>
      <c r="D9" s="79"/>
      <c r="E9" s="72"/>
      <c r="F9" s="72"/>
      <c r="G9" s="72"/>
      <c r="H9" s="72"/>
      <c r="I9" s="52" t="s">
        <v>115</v>
      </c>
      <c r="J9" s="52" t="s">
        <v>116</v>
      </c>
      <c r="K9" s="52" t="s">
        <v>123</v>
      </c>
      <c r="L9" s="52" t="s">
        <v>115</v>
      </c>
      <c r="M9" s="52" t="s">
        <v>116</v>
      </c>
      <c r="N9" s="52" t="s">
        <v>123</v>
      </c>
    </row>
    <row r="10" spans="2:15" s="56" customFormat="1" ht="16.75" customHeight="1" x14ac:dyDescent="0.25">
      <c r="B10" s="73"/>
      <c r="C10" s="55">
        <v>1</v>
      </c>
      <c r="D10" s="50" t="s">
        <v>127</v>
      </c>
      <c r="E10" s="57"/>
      <c r="F10" s="57"/>
      <c r="G10" s="57"/>
      <c r="H10" s="57"/>
      <c r="I10" s="50"/>
      <c r="J10" s="57" t="e">
        <f>SUM(E10:H10)/M10</f>
        <v>#DIV/0!</v>
      </c>
      <c r="K10" s="57" t="e">
        <f>J10/I10</f>
        <v>#DIV/0!</v>
      </c>
      <c r="L10" s="50">
        <v>2</v>
      </c>
      <c r="M10" s="50">
        <f>COUNTA(E10:H10)</f>
        <v>0</v>
      </c>
      <c r="N10" s="59">
        <f>M10/L10</f>
        <v>0</v>
      </c>
      <c r="O10" s="71" t="s">
        <v>124</v>
      </c>
    </row>
    <row r="11" spans="2:15" s="56" customFormat="1" ht="16.75" customHeight="1" x14ac:dyDescent="0.25">
      <c r="B11" s="82"/>
      <c r="C11" s="55">
        <v>2</v>
      </c>
      <c r="D11" s="50" t="s">
        <v>128</v>
      </c>
      <c r="E11" s="57"/>
      <c r="F11" s="57"/>
      <c r="G11" s="57"/>
      <c r="H11" s="57"/>
      <c r="I11" s="50"/>
      <c r="J11" s="57" t="e">
        <f>SUM(E11:H11)/M11</f>
        <v>#DIV/0!</v>
      </c>
      <c r="K11" s="57" t="e">
        <f>J11/I11</f>
        <v>#DIV/0!</v>
      </c>
      <c r="L11" s="50">
        <v>2</v>
      </c>
      <c r="M11" s="50">
        <f>COUNTA(E11:H11)</f>
        <v>0</v>
      </c>
      <c r="N11" s="59">
        <f>M11/L11</f>
        <v>0</v>
      </c>
      <c r="O11" s="71"/>
    </row>
    <row r="12" spans="2:15" s="56" customFormat="1" ht="16.75" customHeight="1" x14ac:dyDescent="0.25">
      <c r="B12" s="82"/>
      <c r="C12" s="55">
        <v>3</v>
      </c>
      <c r="D12" s="50" t="s">
        <v>129</v>
      </c>
      <c r="E12" s="57"/>
      <c r="F12" s="57"/>
      <c r="G12" s="57"/>
      <c r="H12" s="57"/>
      <c r="I12" s="50"/>
      <c r="J12" s="57" t="e">
        <f>SUM(E12:H12)/M12</f>
        <v>#DIV/0!</v>
      </c>
      <c r="K12" s="57" t="e">
        <f>J12/I12</f>
        <v>#DIV/0!</v>
      </c>
      <c r="L12" s="50">
        <v>2</v>
      </c>
      <c r="M12" s="50">
        <f>COUNTA(E12:H12)</f>
        <v>0</v>
      </c>
      <c r="N12" s="59">
        <f>M12/L12</f>
        <v>0</v>
      </c>
      <c r="O12" s="71"/>
    </row>
    <row r="13" spans="2:15" s="56" customFormat="1" ht="16.75" customHeight="1" x14ac:dyDescent="0.25">
      <c r="B13" s="82"/>
      <c r="C13" s="55">
        <v>4</v>
      </c>
      <c r="D13" s="50" t="s">
        <v>132</v>
      </c>
      <c r="E13" s="57"/>
      <c r="F13" s="57"/>
      <c r="G13" s="57"/>
      <c r="H13" s="57"/>
      <c r="I13" s="50"/>
      <c r="J13" s="57" t="e">
        <f>SUM(E13:H13)/M13</f>
        <v>#DIV/0!</v>
      </c>
      <c r="K13" s="57" t="e">
        <f>J13/I13</f>
        <v>#DIV/0!</v>
      </c>
      <c r="L13" s="50">
        <v>2</v>
      </c>
      <c r="M13" s="50">
        <f>COUNTA(E13:H13)</f>
        <v>0</v>
      </c>
      <c r="N13" s="59">
        <f>M13/L13</f>
        <v>0</v>
      </c>
      <c r="O13" s="71"/>
    </row>
    <row r="14" spans="2:15" s="54" customFormat="1" ht="16.75" customHeight="1" x14ac:dyDescent="0.25">
      <c r="B14" s="83"/>
      <c r="C14" s="74" t="s">
        <v>118</v>
      </c>
      <c r="D14" s="75"/>
      <c r="E14" s="76"/>
      <c r="F14" s="76"/>
      <c r="G14" s="76"/>
      <c r="H14" s="76"/>
      <c r="I14" s="51"/>
      <c r="J14" s="58" t="e">
        <f>SUM(J10:J13)/4</f>
        <v>#DIV/0!</v>
      </c>
      <c r="K14" s="58" t="e">
        <f>J14/I14</f>
        <v>#DIV/0!</v>
      </c>
      <c r="L14" s="60">
        <f>SUM(L10:L13)</f>
        <v>8</v>
      </c>
      <c r="M14" s="60">
        <f>SUM(M10:M13)</f>
        <v>0</v>
      </c>
      <c r="N14" s="61">
        <f>M14/L14</f>
        <v>0</v>
      </c>
      <c r="O14" s="71"/>
    </row>
    <row r="15" spans="2:15" ht="8.25" customHeight="1" x14ac:dyDescent="0.25"/>
  </sheetData>
  <mergeCells count="19">
    <mergeCell ref="B10:B14"/>
    <mergeCell ref="E14:H14"/>
    <mergeCell ref="B2:N2"/>
    <mergeCell ref="B5:N5"/>
    <mergeCell ref="B4:N4"/>
    <mergeCell ref="C14:D14"/>
    <mergeCell ref="B6:B9"/>
    <mergeCell ref="C6:C9"/>
    <mergeCell ref="D6:D9"/>
    <mergeCell ref="E8:E9"/>
    <mergeCell ref="F8:F9"/>
    <mergeCell ref="E7:N7"/>
    <mergeCell ref="I8:K8"/>
    <mergeCell ref="L8:N8"/>
    <mergeCell ref="E6:N6"/>
    <mergeCell ref="G8:G9"/>
    <mergeCell ref="H8:H9"/>
    <mergeCell ref="B3:N3"/>
    <mergeCell ref="O10:O14"/>
  </mergeCells>
  <pageMargins left="0.7" right="0.7" top="0.75" bottom="0.75" header="0.3" footer="0.3"/>
  <pageSetup paperSize="9" orientation="portrait" r:id="rId1"/>
  <ignoredErrors>
    <ignoredError sqref="M10 M11:M13" formulaRange="1"/>
    <ignoredError sqref="K10:K14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inspection </vt:lpstr>
      <vt:lpstr>Standar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public;ari susanto</dc:creator>
  <cp:lastModifiedBy>Ari Susanto</cp:lastModifiedBy>
  <dcterms:created xsi:type="dcterms:W3CDTF">2015-05-09T07:22:02Z</dcterms:created>
  <dcterms:modified xsi:type="dcterms:W3CDTF">2026-09-09T03:26:41Z</dcterms:modified>
</cp:coreProperties>
</file>