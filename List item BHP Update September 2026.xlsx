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69ACBC3-939A-4B07-8CA3-C1CC246BDB9C}" xr6:coauthVersionLast="47" xr6:coauthVersionMax="47" xr10:uidLastSave="{00000000-0000-0000-0000-000000000000}"/>
  <bookViews>
    <workbookView xWindow="-108" yWindow="-108" windowWidth="23256" windowHeight="12456" xr2:uid="{EDBC033C-EAAD-451B-8719-EB10AC1293E3}"/>
  </bookViews>
  <sheets>
    <sheet name="FPA List" sheetId="1" r:id="rId1"/>
  </sheets>
  <externalReferences>
    <externalReference r:id="rId2"/>
  </externalReferences>
  <definedNames>
    <definedName name="_1Excel_BuiltIn__FilterDatabase_1_1">#REF!</definedName>
    <definedName name="_xlnm._FilterDatabase" localSheetId="0" hidden="1">'FPA List'!$A$2:$N$141</definedName>
    <definedName name="a">#REF!</definedName>
    <definedName name="AAAA">#REF!</definedName>
    <definedName name="base_c1">#REF!</definedName>
    <definedName name="base_e">#REF!</definedName>
    <definedName name="data">#REF!</definedName>
    <definedName name="dataabsen1">#REF!</definedName>
    <definedName name="DBEqcost">#REF!</definedName>
    <definedName name="Excel_BuiltIn_Print_Area_2_1">#REF!</definedName>
    <definedName name="Excel_BuiltIn_Print_Titles_9">#REF!</definedName>
    <definedName name="Excel_BuiltIn_Print_Titles_9_1">#REF!</definedName>
    <definedName name="head_c1">#REF!</definedName>
    <definedName name="head_e">#REF!</definedName>
    <definedName name="IPPA">#REF!</definedName>
    <definedName name="JD">#REF!</definedName>
    <definedName name="Libur">'[1]Lookup Department &amp; Main Equipm'!$G$11:$G$29</definedName>
    <definedName name="MT">#REF!</definedName>
    <definedName name="nourut">#REF!</definedName>
    <definedName name="OUT">#REF!</definedName>
    <definedName name="pica">#REF!</definedName>
    <definedName name="PICAAA">#REF!</definedName>
    <definedName name="Print_Area_MI">#REF!</definedName>
    <definedName name="tanggalmerah">'[1]RESUME OS IR PR 2026'!$AX$64:$AX$80</definedName>
    <definedName name="Z_13F65B82_53BA_4832_9EBB_4D01551FA172_.wvu.FilterData" localSheetId="0" hidden="1">'FPA List'!$A$2:$H$140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1" i="1" l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</calcChain>
</file>

<file path=xl/sharedStrings.xml><?xml version="1.0" encoding="utf-8"?>
<sst xmlns="http://schemas.openxmlformats.org/spreadsheetml/2006/main" count="569" uniqueCount="299">
  <si>
    <t>NO</t>
  </si>
  <si>
    <t>Stock Code</t>
  </si>
  <si>
    <t>Item Desc</t>
  </si>
  <si>
    <t>UoP</t>
  </si>
  <si>
    <t>Price Before TAX</t>
  </si>
  <si>
    <t>Discount</t>
  </si>
  <si>
    <t>Remarks</t>
  </si>
  <si>
    <t>EACH</t>
  </si>
  <si>
    <t>BOTL</t>
  </si>
  <si>
    <t>SET</t>
  </si>
  <si>
    <t>PACK</t>
  </si>
  <si>
    <t>CAN</t>
  </si>
  <si>
    <t>TUBE</t>
  </si>
  <si>
    <t>BOX</t>
  </si>
  <si>
    <t>KG</t>
  </si>
  <si>
    <t>BHP001</t>
  </si>
  <si>
    <t>AIR MINERAL BOTOL 300 ML MERK LEE MINERAL (ISI 24 BOTOL)</t>
  </si>
  <si>
    <t>BHP002</t>
  </si>
  <si>
    <t>AIR MINERAL BOTOL 600ML MERK LEE MINERAL (ISI 24 BOTOL)</t>
  </si>
  <si>
    <t>BHP003</t>
  </si>
  <si>
    <t>AIR MINUM AQUA BOTLE 600 ML (ISI 24 BOTOL)</t>
  </si>
  <si>
    <t>BHP004</t>
  </si>
  <si>
    <t>AIR MINUM CLUB GELAS 220 ML X 48 GLASS</t>
  </si>
  <si>
    <t>BHP005</t>
  </si>
  <si>
    <t>BAYGON AEROSOL OBAT NYAMUK SPRAY SEMPROT 600 ML</t>
  </si>
  <si>
    <t>BHP006</t>
  </si>
  <si>
    <t>CLING PEMBERSIH KACA SEMPROT 440 ML</t>
  </si>
  <si>
    <t>BHP007</t>
  </si>
  <si>
    <t>DETERGEN BUBUK DAIA PUTIH (ISI 1,6 KG)</t>
  </si>
  <si>
    <t>BHP008</t>
  </si>
  <si>
    <t>FACIAL TISSU 180 SHEET X2 PLY MERK NICE</t>
  </si>
  <si>
    <t>BHP009</t>
  </si>
  <si>
    <t>GARAM CAP KAPAL (ISI 500 GRAM )</t>
  </si>
  <si>
    <t>BHP010</t>
  </si>
  <si>
    <t>GULA PASIR ROSE BRAND KUNING 1 KG</t>
  </si>
  <si>
    <t>BHP011</t>
  </si>
  <si>
    <t>HARPIC PEMBERSIH TOILET ISI 450 ML</t>
  </si>
  <si>
    <t>BHP012</t>
  </si>
  <si>
    <t>INDOCAFFE COFFE MIX BAG 30X20G</t>
  </si>
  <si>
    <t>BHP013</t>
  </si>
  <si>
    <t>INDOFOOD BUMBU RACIK IKAN GORENG 20GR (1 PACK ISI 10 PCS/1 RENTENG)</t>
  </si>
  <si>
    <t>BHP014</t>
  </si>
  <si>
    <t>INDOMIE KARI AYAM DUS ISI 40 PCS</t>
  </si>
  <si>
    <t>BHP015</t>
  </si>
  <si>
    <t>INDOMIE MIE GORENG DUS ISI 40 PCS</t>
  </si>
  <si>
    <t>BHP016</t>
  </si>
  <si>
    <t>KAMPER TOILET MERK SWALLOW 1 PACK ISI 5 PCS ( COLOR BALL)</t>
  </si>
  <si>
    <t>BHP017</t>
  </si>
  <si>
    <t>KECAP ABC BOTOL 600ML</t>
  </si>
  <si>
    <t>BHP018</t>
  </si>
  <si>
    <t>KECAP BANGO 6,2 KG ( 1 JERIGEN 5 LITER)</t>
  </si>
  <si>
    <t>JRG</t>
  </si>
  <si>
    <t>BHP019</t>
  </si>
  <si>
    <t>KECAP BOTTLE ABC UK. 135 ML</t>
  </si>
  <si>
    <t>BHP020</t>
  </si>
  <si>
    <t>KECAP MANIS NATIONAL 6 KG (ISI 5 LTR)</t>
  </si>
  <si>
    <t>BHP021</t>
  </si>
  <si>
    <t>KISPRAY POUCH REFILL 280 ML</t>
  </si>
  <si>
    <t>BHP022</t>
  </si>
  <si>
    <t>KOPI HITAM 380GR (KAPAL API)</t>
  </si>
  <si>
    <t>BHP023</t>
  </si>
  <si>
    <t>KOPI KAPAL API 380 GRAM, ISI 1 DUS 9 PCS</t>
  </si>
  <si>
    <t>BHP024</t>
  </si>
  <si>
    <t>LADAKU MERICA BUBUK BERAT 3GR (1 PACK ISI 12 PCS/1 RENTENG)</t>
  </si>
  <si>
    <t>BHP025</t>
  </si>
  <si>
    <t>MERICA BUBUK MERK LADAKU 1 DUS ( ISI 8 PACK X 72 SACHET )</t>
  </si>
  <si>
    <t>BHP026</t>
  </si>
  <si>
    <t>MIE TELOR CAP ATOM BULAN ISI 200Gr - 20 PACK</t>
  </si>
  <si>
    <t>BHP027</t>
  </si>
  <si>
    <t>MOLTO PEWANGI ISI 780ML</t>
  </si>
  <si>
    <t>BHP028</t>
  </si>
  <si>
    <t>PEMBERSIH LANTAI SUPERLPEL 770 ML</t>
  </si>
  <si>
    <t>BHP029</t>
  </si>
  <si>
    <t>PENGHARUM (STELLA GANTUNG 42GR)</t>
  </si>
  <si>
    <t>BHP030</t>
  </si>
  <si>
    <t>PENGHARUM REFILL (STELLA MATIC 225ML)</t>
  </si>
  <si>
    <t>BHP031</t>
  </si>
  <si>
    <t>PENYEDAP RASA, AJINOMOTO ( ISI 1 KG )</t>
  </si>
  <si>
    <t>BHP032</t>
  </si>
  <si>
    <t>PENYEDAP RASA,MASAKO AYAM (ISI 1 KG)</t>
  </si>
  <si>
    <t>BHP033</t>
  </si>
  <si>
    <t>PENYEDAP RASA,MASAKO SAPI (ISI 1 KG)</t>
  </si>
  <si>
    <t>BHP034</t>
  </si>
  <si>
    <t>PEWANGI PAKAIAN SACHET MERK DOWNY 24 ML (360 SACHET)</t>
  </si>
  <si>
    <t>BHP035</t>
  </si>
  <si>
    <t>RINSO MATIC BUBUK 900 GR PROFESIONAL</t>
  </si>
  <si>
    <t>BHP036</t>
  </si>
  <si>
    <t>SABUN COLEK WINGS BIRU 900 WB - 380 GR</t>
  </si>
  <si>
    <t>BHP037</t>
  </si>
  <si>
    <t>SABUN COLEK 3 KG (WINGS BIRU EMBER 2.85 KG)</t>
  </si>
  <si>
    <t>BHP038</t>
  </si>
  <si>
    <t>SABUN CUCI PIRING REFILL SUNLIGHT 635 ML</t>
  </si>
  <si>
    <t>BHP039</t>
  </si>
  <si>
    <t>SABUN DETERGEN DAIA 800 GR</t>
  </si>
  <si>
    <t>BHP040</t>
  </si>
  <si>
    <t>SABUN MAMA LEMON REFFIL ISI 680 ML (ISI 12)</t>
  </si>
  <si>
    <t>BHP041</t>
  </si>
  <si>
    <t>SABUN WING SACHET W350K PERBOX 67 GR (ISI 60 PCS)</t>
  </si>
  <si>
    <t>BHP042</t>
  </si>
  <si>
    <t>SAJIKU TEPUNG BUMBU SERBAGUNA ISI 900 GR</t>
  </si>
  <si>
    <t>BHP043</t>
  </si>
  <si>
    <t>SAMBAL ABC UK. 335ML</t>
  </si>
  <si>
    <t>BHP044</t>
  </si>
  <si>
    <t>SANTAN KARA 1 LITER (TOTAL 12 LITER)</t>
  </si>
  <si>
    <t>BHP045</t>
  </si>
  <si>
    <t>SAOS PEDAS MERK ABC UK. 135 ML</t>
  </si>
  <si>
    <t>BHP046</t>
  </si>
  <si>
    <t>SAOS SAMBAL DELMONTE 5,5 KG (ISI 5 LTR)</t>
  </si>
  <si>
    <t>BHP047</t>
  </si>
  <si>
    <t>SAOS TIRAM MERK SAORI 600 ML</t>
  </si>
  <si>
    <t>BHP048</t>
  </si>
  <si>
    <t>SAOS TOMAT DELMONTE 5,7 KG</t>
  </si>
  <si>
    <t>BHP049</t>
  </si>
  <si>
    <t>SAOS TOMAT MERK ABC UK. 135 ML</t>
  </si>
  <si>
    <t>BHP050</t>
  </si>
  <si>
    <t>SARIWANGI TEH ASLI CELUP (ISI 25 KANTONG)</t>
  </si>
  <si>
    <t>BHP051</t>
  </si>
  <si>
    <t>SO KLIN LANTAI 900ML</t>
  </si>
  <si>
    <t>BHP052</t>
  </si>
  <si>
    <t>SOSRO BLACK TEA KOTAK TEH CELUP ( ISI 30 KANTONG )</t>
  </si>
  <si>
    <t>BHP053</t>
  </si>
  <si>
    <t>SUNLIGHT CAIR PENCUCI PIRING 210+30 ML (ISI 24 PCS)</t>
  </si>
  <si>
    <t>BHP054</t>
  </si>
  <si>
    <t>SUSU KENTAL MANIS ,CAP ENAK 370 GRAM</t>
  </si>
  <si>
    <t>BHP055</t>
  </si>
  <si>
    <t>TEA AROMA MELATI MERK TONG TJITEH CELUP (ISI 25 KANTONG)</t>
  </si>
  <si>
    <t>BHP056</t>
  </si>
  <si>
    <t>TEA GUNUNG SATRIA TEH CELUP ( ISI 30 KANTONG )</t>
  </si>
  <si>
    <t>BHP057</t>
  </si>
  <si>
    <t>TISSUE TOILET 8 ROLL x 300 SHEET MERK TESSA</t>
  </si>
  <si>
    <t>BHP058</t>
  </si>
  <si>
    <t>TISSUE PASEO SMART FACIAL ISI 500+40 SHEET</t>
  </si>
  <si>
    <t>BHP059</t>
  </si>
  <si>
    <t>VIXAL PEMBERSIH KAMAR MANDI 780 ML</t>
  </si>
  <si>
    <t>BHP060</t>
  </si>
  <si>
    <t>WIPOL KARBOL CEMARA BOTOL 750ML</t>
  </si>
  <si>
    <t>BHP061</t>
  </si>
  <si>
    <t>MINYAK GORENG SUNCO 2 LITER POUCH REFILL</t>
  </si>
  <si>
    <t>BHP062</t>
  </si>
  <si>
    <t>AIR FRESHENER STELLA BATHROOM POCKET PURPLE LILY 10 GRAM</t>
  </si>
  <si>
    <t>BHP063</t>
  </si>
  <si>
    <t>AIR FRESHENER STELLA BATHROOM GREEN APPLE 10 GRAM</t>
  </si>
  <si>
    <t>BHP064</t>
  </si>
  <si>
    <t>BAYFRESH REED DIFFUSER WITH ESSENTIONAL OIL AROMA SAKURA BLOOM 30 ML</t>
  </si>
  <si>
    <t>BHP065</t>
  </si>
  <si>
    <t>LOTUS BISCOFF BISCUIT SPREAD JAM CRUNCHY 380 GRAM</t>
  </si>
  <si>
    <t>BHP066</t>
  </si>
  <si>
    <t>PROCHIZ GOLD SLICES PROCESSEED CHEDDAR CHEESE ISI 12 LEMBAR 156 GR</t>
  </si>
  <si>
    <t>BHP067</t>
  </si>
  <si>
    <t>AIR FRESHENER STELLA PARFUM'IST HOME SPRAY JAPANESE SAKURA 200 ML</t>
  </si>
  <si>
    <t>BHP068</t>
  </si>
  <si>
    <t>SABUN TANGAN (HAND WASH) MERK SLEEK AROMA STRAWBERRY 4 LITER</t>
  </si>
  <si>
    <t>BHP069</t>
  </si>
  <si>
    <t>AIR MINUM PRISTINE PH 86 600ML (1 DUS 24 BOTOL)</t>
  </si>
  <si>
    <t>BHP070</t>
  </si>
  <si>
    <t>RELAXA PERMEN WANGI RASA BARLEY MINT FLAVOR 125GR</t>
  </si>
  <si>
    <t>BHP071</t>
  </si>
  <si>
    <t>RELAXA PERMEN WANGI RASA GRAPE MINT FLAVOR 125GR</t>
  </si>
  <si>
    <t>BHP072</t>
  </si>
  <si>
    <t>SUSU NESTLE BEAR BRAND - SUSU STERILL ( 1 DUS ISI 30 ML 189 ML)</t>
  </si>
  <si>
    <t>BHP073</t>
  </si>
  <si>
    <t>SOYA BEAN MILK VSOY MULTI GRAIN 200 ML ( 1 DUS ISI 48 PCS 200 ML)</t>
  </si>
  <si>
    <t>BHP074</t>
  </si>
  <si>
    <t>SOYA BEAN MILK VSOY MULTIGRAIN BOTOL KACA 300ML</t>
  </si>
  <si>
    <t>BHP075</t>
  </si>
  <si>
    <t>GOODDAY CAPPUCINO (1 DUS ISI 12 RENTENG - 1 SACHET @25 GRAM)</t>
  </si>
  <si>
    <t>BHP076</t>
  </si>
  <si>
    <t>BUAVITA RASA MANGGA (1 DUS ISI 24 PCS 245ML)</t>
  </si>
  <si>
    <t>BHP077</t>
  </si>
  <si>
    <t>BUAVITA RASA GUAVA (1 DUS ISI 24 PCS 245ML)</t>
  </si>
  <si>
    <t>BHP078</t>
  </si>
  <si>
    <t>BUAVITA RASA ORANGE (1 DUS ISI 24 PCS 250ML)</t>
  </si>
  <si>
    <t>BHP079</t>
  </si>
  <si>
    <t>BUAVITA RASA APPLE (1 DUS ISI 24 PCS 250ML)</t>
  </si>
  <si>
    <t>BHP080</t>
  </si>
  <si>
    <t>BUAVITA RASA LECI (1 DUS ISI 24 PCS 250ML)</t>
  </si>
  <si>
    <t>BHP081</t>
  </si>
  <si>
    <t>GENTLE GEN DETERJEN CAIR KONSENTRAT 750 ML WARNA BIRU</t>
  </si>
  <si>
    <t>BHP082</t>
  </si>
  <si>
    <t>BIORE MOISTURE CARE BODY FOAM PURE MILD 100 ml</t>
  </si>
  <si>
    <t>BHP083</t>
  </si>
  <si>
    <t>SHAMPOO PANTENE HITAM GLOW 70 ML</t>
  </si>
  <si>
    <t>BHP084</t>
  </si>
  <si>
    <t>SHAMPOO PANTENE RAMBUT RONTOK 70 ML</t>
  </si>
  <si>
    <t>BHP085</t>
  </si>
  <si>
    <t>PEPSODENT TRAVEL KIT SIKAT GIGI LIPAT PRAKTIS &amp; PASTA GIGI ODOL 25 GR</t>
  </si>
  <si>
    <t>BHP086</t>
  </si>
  <si>
    <t>AMBI PUR CAR MINI CLIP 2 ML SKY BREEZE</t>
  </si>
  <si>
    <t>BHP087</t>
  </si>
  <si>
    <t>INDOMIE SOTO BANJAR LIMAU KUIT (1 DUS 40 PCS)</t>
  </si>
  <si>
    <t>BHP088</t>
  </si>
  <si>
    <t>BIHUN JAGUNG PADAMU 320 GRAM (1 PACK ISI 12)</t>
  </si>
  <si>
    <t>BHP089</t>
  </si>
  <si>
    <t>TOILET CLEANNING GEL MR. MUSCLE 36 ML (ALAT + REFILL)</t>
  </si>
  <si>
    <t>BHP090</t>
  </si>
  <si>
    <t>PENGHARUM RUANGAN SEMPROT OTOMATIS STELLA MATIC SET LENGKAP ALAT + ISI / REFILL</t>
  </si>
  <si>
    <t>BHP091</t>
  </si>
  <si>
    <t>SABUN CUCI PAKAIAN ATTACK JAZ 1 SOFTENER 800GR</t>
  </si>
  <si>
    <t>BHP092</t>
  </si>
  <si>
    <t>GOODDAY COOLIN 20 GR KARTOON 120 SACHET</t>
  </si>
  <si>
    <t>BHP093</t>
  </si>
  <si>
    <t>INDOFOOD BUMBU RACIK NASI GORENG 20 GR (1 PACK ISI 10 PCS/1 RENTENG)</t>
  </si>
  <si>
    <t>BHP094</t>
  </si>
  <si>
    <t>KETUMBAR BUBUK DESAKU 12,5 GR (1 PACK ISI 12 PCS/1 RENTENG)</t>
  </si>
  <si>
    <t>BHP095</t>
  </si>
  <si>
    <t>KUNYIT BUBUK DESAKU 7,5GR (1 PACK ISI 12 PCS/1 RENTENG)</t>
  </si>
  <si>
    <t>BHP096</t>
  </si>
  <si>
    <t>BOGASARI TEPUNG TERIGU SEGITIGA BIRU PREMIUM ISI 1 KG</t>
  </si>
  <si>
    <t>BHP097</t>
  </si>
  <si>
    <t>VANISH CAIR REFFIL NODA CAIR 750 ML</t>
  </si>
  <si>
    <t>BHP098</t>
  </si>
  <si>
    <t>VANISH CAIR BOTOL UKURAN 500 ML</t>
  </si>
  <si>
    <t>BHP099</t>
  </si>
  <si>
    <t>BAYCLIN PEMUTIH PAKAIAN 4 LITER</t>
  </si>
  <si>
    <t>BHP100</t>
  </si>
  <si>
    <t>KECAP MANIS ABC UK. 275 ML (BOTOL)</t>
  </si>
  <si>
    <t>BHP101</t>
  </si>
  <si>
    <t>SAOS RAJA RASA CAP KENARI BOTOL BESAR UKURAN 600 ML</t>
  </si>
  <si>
    <t>BHP102</t>
  </si>
  <si>
    <t>MINYAK WIJEN CAP BUNGA MATAHARI HALAL UKURAN 600 ML</t>
  </si>
  <si>
    <t>BHP103</t>
  </si>
  <si>
    <t>HAND WASH, LIFEBUOY TOTAL, REFILL 180 ML</t>
  </si>
  <si>
    <t>BHP104</t>
  </si>
  <si>
    <t>SUSU KENTAL MANIS CREAMY MERK INDOMILK 545 GR (POUCH)</t>
  </si>
  <si>
    <t>BHP105</t>
  </si>
  <si>
    <t>TEPUNG MAIZENA ISI 1 KG MAIZENAKU</t>
  </si>
  <si>
    <t>BHP106</t>
  </si>
  <si>
    <t>KECAP MANIS ABC REFILL 685 GR</t>
  </si>
  <si>
    <t>BHP107</t>
  </si>
  <si>
    <t>MINUMAN POCARI SWEAT ISI 350 ML (1 DUS ISI 24 BOTOL)</t>
  </si>
  <si>
    <t>BHP108</t>
  </si>
  <si>
    <t>MINUMAN AIR KELAPA HYDRO COCO 330 ML</t>
  </si>
  <si>
    <t>BHP109</t>
  </si>
  <si>
    <t>HANDSOAP YURI 410 ML</t>
  </si>
  <si>
    <t>BHP110</t>
  </si>
  <si>
    <t>PEWANGI PAKAIAN SACHET MERK ROYAL 13 ML (1 PACK ISI 12 PCS/1 RENTENG)</t>
  </si>
  <si>
    <t>BHP111</t>
  </si>
  <si>
    <t>PENYERAP UDARA LEMBAB YANG KUAT MERK BAGUS (SERAPAIR HEAVY DUTY DEHUMIDIFIER) 225 ML</t>
  </si>
  <si>
    <t>BHP112</t>
  </si>
  <si>
    <t>SELAI GLAZE TOPPING &amp; DECORATION RASA TIRAMISU 250MG</t>
  </si>
  <si>
    <t>BHP113</t>
  </si>
  <si>
    <t>SELAI GLAZE TOPPING &amp; DECORATION RASA STRAWBERRY 250MG</t>
  </si>
  <si>
    <t>BHP114</t>
  </si>
  <si>
    <t>SELAI GLAZE TOPPING &amp; DECORATION RASA VANIILA (COKLAT PUTIH) 250MG</t>
  </si>
  <si>
    <t>BHP115</t>
  </si>
  <si>
    <t>SELAI GLAZE TOPPING &amp; DECORATION RASA COKLATE 250MG</t>
  </si>
  <si>
    <t>BHP116</t>
  </si>
  <si>
    <t>PHILLIPS ESSENTIAL LED BULB 11W</t>
  </si>
  <si>
    <t>BHP117</t>
  </si>
  <si>
    <t>PHILLIPS ESSENTIAL LED BULB 15W</t>
  </si>
  <si>
    <t>BHP118</t>
  </si>
  <si>
    <t>PHILLIPS ESSENTIAL LED BULB 19W</t>
  </si>
  <si>
    <t>BHP119</t>
  </si>
  <si>
    <t>PHILLIPS ESSENTIAL LED BULB 6W</t>
  </si>
  <si>
    <t>BHP120</t>
  </si>
  <si>
    <t>MR MUSCLE PEMBERSIH DAPUR SERBAGUNA LEMON BOTOL 500 ML</t>
  </si>
  <si>
    <t>BHP121</t>
  </si>
  <si>
    <t>FUMAKILLA VAPE JUMBO TANPA ASAP ISI 5 PASANG</t>
  </si>
  <si>
    <t>BHP122</t>
  </si>
  <si>
    <t>MILO ACTIV-GO SUSU BUBUK SACHET 22 GR (1 RENTENG ISI 10 SACHET)</t>
  </si>
  <si>
    <t>BHP123</t>
  </si>
  <si>
    <t>SARI ROTI J. TAWAR SPECIAL 500 GR</t>
  </si>
  <si>
    <t>BHP124</t>
  </si>
  <si>
    <t>SIRUP ABC AQUASH DELIGHT RASA JERUK FLORIDA BOTOL 450 ML</t>
  </si>
  <si>
    <t>BHP125</t>
  </si>
  <si>
    <t>SIRUP ABC AQUASH DELIGHT RASA LECI BOTOL 460 ML</t>
  </si>
  <si>
    <t>BHP126</t>
  </si>
  <si>
    <t>SO KLIN LIQUID VIOLET BLOSSOM DETERGEN CAIR 700 ML</t>
  </si>
  <si>
    <t>BHP127</t>
  </si>
  <si>
    <t>POLYTEX SPOON CUCI PIRING</t>
  </si>
  <si>
    <t>BHP128</t>
  </si>
  <si>
    <t>POLYTEX SABUT STAINLESS KAWAT PENCUCI PIRING</t>
  </si>
  <si>
    <t>BHP129</t>
  </si>
  <si>
    <t>SUSU DANCOW FORTI GROW INSTAN PUTIH 27GR (1 RENTENG ISI 10 SACHET)</t>
  </si>
  <si>
    <t>BHP130</t>
  </si>
  <si>
    <t>TISSUE PASEO SMART FACIAL ISI 200 SHEET</t>
  </si>
  <si>
    <t>BHP131</t>
  </si>
  <si>
    <t>TORA BIKA CREAMY LATTE BUBUK 22 GR (ISI 12 RENCENG)</t>
  </si>
  <si>
    <t>BHP132</t>
  </si>
  <si>
    <t>DUA KELINCI GARING 370 GR</t>
  </si>
  <si>
    <t>BHP133</t>
  </si>
  <si>
    <t>PAMMA MIX FRUIT CRIPS 45 GR</t>
  </si>
  <si>
    <t>BHP134</t>
  </si>
  <si>
    <t>QTELA SINGKONG RASA ORI 175 GR</t>
  </si>
  <si>
    <t>BHP135</t>
  </si>
  <si>
    <t>RENGGINANG MASAK PIPIH ISI 20</t>
  </si>
  <si>
    <t>BHP136</t>
  </si>
  <si>
    <t>CHITATO LITE SALMON 68 GR</t>
  </si>
  <si>
    <t>BHP137</t>
  </si>
  <si>
    <t>OCEGAN KRIPIK NANGKA RATU RASA 100 GR</t>
  </si>
  <si>
    <t>BHP138</t>
  </si>
  <si>
    <t>LEMONILO CHIMI UBI RASA KAGUNG BAKAR 45 GR</t>
  </si>
  <si>
    <t>REFFIL ; REFILL LPG 12 KG REFILL FOR CUTTING META L</t>
  </si>
  <si>
    <t>New Item</t>
  </si>
  <si>
    <t>Price After Discount (Exclude PPN)</t>
  </si>
  <si>
    <t>Addendum Kenaikan Harga (New Price)</t>
  </si>
  <si>
    <t>Addendum Kenaikan Harga (New Price) - (Non PPN)</t>
  </si>
  <si>
    <t>COA</t>
  </si>
  <si>
    <t>AHRD40200052113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</si>
</sst>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  <font>
      <sz val="11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FE699"/>
        <bgColor rgb="FFFFE699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D9E1F2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E699"/>
      </patternFill>
    </fill>
    <fill>
      <patternFill patternType="solid">
        <fgColor rgb="FFFF0000"/>
        <bgColor rgb="FFFFFF00"/>
      </patternFill>
    </fill>
    <fill>
      <patternFill patternType="solid">
        <fgColor rgb="FFFF0000"/>
        <bgColor rgb="FFB7E1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/>
    <xf numFmtId="4" fontId="3" fillId="5" borderId="1" xfId="0" applyNumberFormat="1" applyFont="1" applyFill="1" applyBorder="1" applyAlignment="1">
      <alignment horizontal="right"/>
    </xf>
    <xf numFmtId="0" fontId="3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2" fillId="0" borderId="1" xfId="0" applyFont="1" applyBorder="1"/>
    <xf numFmtId="9" fontId="3" fillId="5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8" borderId="1" xfId="0" applyFont="1" applyFill="1" applyBorder="1"/>
    <xf numFmtId="4" fontId="3" fillId="8" borderId="1" xfId="0" applyNumberFormat="1" applyFont="1" applyFill="1" applyBorder="1" applyAlignment="1">
      <alignment horizontal="right"/>
    </xf>
    <xf numFmtId="9" fontId="3" fillId="9" borderId="1" xfId="0" applyNumberFormat="1" applyFont="1" applyFill="1" applyBorder="1" applyAlignment="1">
      <alignment horizontal="center"/>
    </xf>
    <xf numFmtId="4" fontId="3" fillId="9" borderId="1" xfId="0" applyNumberFormat="1" applyFont="1" applyFill="1" applyBorder="1" applyAlignment="1">
      <alignment horizontal="right"/>
    </xf>
    <xf numFmtId="0" fontId="3" fillId="6" borderId="1" xfId="0" applyFont="1" applyFill="1" applyBorder="1"/>
    <xf numFmtId="0" fontId="5" fillId="6" borderId="1" xfId="0" applyFont="1" applyFill="1" applyBorder="1" applyAlignment="1">
      <alignment horizontal="center"/>
    </xf>
    <xf numFmtId="0" fontId="0" fillId="8" borderId="0" xfId="0" applyFill="1"/>
    <xf numFmtId="0" fontId="4" fillId="8" borderId="1" xfId="0" applyFont="1" applyFill="1" applyBorder="1"/>
    <xf numFmtId="0" fontId="3" fillId="8" borderId="1" xfId="0" applyFont="1" applyFill="1" applyBorder="1" applyAlignment="1">
      <alignment horizontal="left"/>
    </xf>
    <xf numFmtId="4" fontId="3" fillId="10" borderId="1" xfId="0" applyNumberFormat="1" applyFont="1" applyFill="1" applyBorder="1" applyAlignment="1">
      <alignment horizontal="right"/>
    </xf>
    <xf numFmtId="9" fontId="3" fillId="9" borderId="1" xfId="0" applyNumberFormat="1" applyFont="1" applyFill="1" applyBorder="1" applyAlignment="1">
      <alignment horizontal="right"/>
    </xf>
    <xf numFmtId="4" fontId="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ulhijatil_u\Downloads\PROCUREMENT%20ACTIVITY%20MONITORING%20(25).xlsx" TargetMode="External"/><Relationship Id="rId1" Type="http://schemas.openxmlformats.org/officeDocument/2006/relationships/externalLinkPath" Target="/Users/zulhijatil_u/Downloads/PROCUREMENT%20ACTIVITY%20MONITORING%20(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s Development"/>
      <sheetName val="Daily Activity 2026"/>
      <sheetName val="GERAK PRO 2026"/>
      <sheetName val="PR IR Proses Approval"/>
      <sheetName val="RESUME OS IR PR 2026"/>
      <sheetName val="Code Delay"/>
      <sheetName val="Lookup Department &amp; Main Equipm"/>
      <sheetName val="Rekap Purchase Control"/>
      <sheetName val="PRIR TIM PROJECT"/>
      <sheetName val="FPA List"/>
      <sheetName val="Copy of FPA List"/>
      <sheetName val="PO redirect"/>
      <sheetName val="GERAK PRO 2025"/>
      <sheetName val="Daftar Kontrak - Update Juli 20"/>
      <sheetName val="131"/>
      <sheetName val="Daftar Kontrak FPA sistem"/>
      <sheetName val="PROCUREMENT RETURN"/>
      <sheetName val="List Istilah di Procurement"/>
      <sheetName val="Jadwal Warehouse Visit"/>
      <sheetName val="KPI 2024"/>
      <sheetName val="AGM BERGERAK 2025"/>
      <sheetName val="Dashboard Backlog"/>
      <sheetName val="Potensi Supplier Nego "/>
      <sheetName val="RF"/>
      <sheetName val="MOM Procurement Daily Procureme"/>
      <sheetName val="MOM Weekly Procurement"/>
      <sheetName val="Sheet23"/>
      <sheetName val="Daily Activity 2024 data lama"/>
      <sheetName val="UPDATE TERIMA INVOICE "/>
      <sheetName val="UPDATE INVOICE 2025"/>
      <sheetName val="MOM L1"/>
      <sheetName val="Qoutation"/>
      <sheetName val="Penomoran Surat"/>
      <sheetName val="BMI"/>
      <sheetName val="Coppy BMI"/>
      <sheetName val="Timeline 1"/>
      <sheetName val="Sheet74"/>
      <sheetName val="Form Responses 1"/>
      <sheetName val="Sample"/>
      <sheetName val="Sheet39"/>
      <sheetName val="Daftar Supplier"/>
      <sheetName val="DAFTAR SUPPLIER FOR INVOICE REK"/>
      <sheetName val="TKDN"/>
      <sheetName val="Data Invoice"/>
      <sheetName val="Item Develope"/>
      <sheetName val="PO Manual"/>
    </sheetNames>
    <sheetDataSet>
      <sheetData sheetId="0"/>
      <sheetData sheetId="1"/>
      <sheetData sheetId="2"/>
      <sheetData sheetId="3"/>
      <sheetData sheetId="4">
        <row r="64">
          <cell r="AX64">
            <v>45658</v>
          </cell>
        </row>
        <row r="65">
          <cell r="AX65">
            <v>45684</v>
          </cell>
        </row>
        <row r="66">
          <cell r="AX66">
            <v>45686</v>
          </cell>
        </row>
        <row r="67">
          <cell r="AX67">
            <v>45745</v>
          </cell>
        </row>
        <row r="68">
          <cell r="AX68">
            <v>45747</v>
          </cell>
        </row>
        <row r="69">
          <cell r="AX69">
            <v>45748</v>
          </cell>
        </row>
        <row r="70">
          <cell r="AX70">
            <v>45765</v>
          </cell>
        </row>
        <row r="71">
          <cell r="AX71">
            <v>45767</v>
          </cell>
        </row>
        <row r="72">
          <cell r="AX72">
            <v>45778</v>
          </cell>
        </row>
        <row r="73">
          <cell r="AX73">
            <v>45789</v>
          </cell>
        </row>
        <row r="74">
          <cell r="AX74">
            <v>45806</v>
          </cell>
        </row>
        <row r="75">
          <cell r="AX75">
            <v>45809</v>
          </cell>
        </row>
        <row r="76">
          <cell r="AX76">
            <v>45844</v>
          </cell>
        </row>
        <row r="77">
          <cell r="AX77">
            <v>45835</v>
          </cell>
        </row>
        <row r="78">
          <cell r="AX78">
            <v>45886</v>
          </cell>
        </row>
        <row r="79">
          <cell r="AX79">
            <v>45905</v>
          </cell>
        </row>
        <row r="80">
          <cell r="AX80">
            <v>46016</v>
          </cell>
        </row>
      </sheetData>
      <sheetData sheetId="5"/>
      <sheetData sheetId="6">
        <row r="11">
          <cell r="G11">
            <v>45292</v>
          </cell>
        </row>
        <row r="12">
          <cell r="G12">
            <v>45330</v>
          </cell>
        </row>
        <row r="13">
          <cell r="G13">
            <v>45332</v>
          </cell>
        </row>
        <row r="14">
          <cell r="G14">
            <v>45362</v>
          </cell>
        </row>
        <row r="15">
          <cell r="G15">
            <v>45380</v>
          </cell>
        </row>
        <row r="16">
          <cell r="G16">
            <v>45382</v>
          </cell>
        </row>
        <row r="17">
          <cell r="G17">
            <v>45392</v>
          </cell>
        </row>
        <row r="18">
          <cell r="G18">
            <v>45393</v>
          </cell>
        </row>
        <row r="19">
          <cell r="G19">
            <v>45421</v>
          </cell>
        </row>
        <row r="20">
          <cell r="G20">
            <v>45435</v>
          </cell>
        </row>
        <row r="21">
          <cell r="G21">
            <v>45444</v>
          </cell>
        </row>
        <row r="22">
          <cell r="G22">
            <v>45460</v>
          </cell>
        </row>
        <row r="23">
          <cell r="G23">
            <v>45480</v>
          </cell>
        </row>
        <row r="24">
          <cell r="G24">
            <v>45521</v>
          </cell>
        </row>
        <row r="25">
          <cell r="G25">
            <v>45551</v>
          </cell>
        </row>
        <row r="26">
          <cell r="G26">
            <v>45651</v>
          </cell>
        </row>
        <row r="27">
          <cell r="G27">
            <v>45658</v>
          </cell>
        </row>
        <row r="28">
          <cell r="G28">
            <v>45684</v>
          </cell>
        </row>
        <row r="29">
          <cell r="G29">
            <v>45686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D545F-4B5A-4DC1-8795-85D19833149F}">
  <sheetPr>
    <tabColor rgb="FF002BFF"/>
    <outlinePr summaryBelow="0" summaryRight="0"/>
    <pageSetUpPr fitToPage="1"/>
  </sheetPr>
  <dimension ref="A2:I141"/>
  <sheetViews>
    <sheetView tabSelected="1" zoomScale="85" zoomScaleNormal="85" workbookViewId="0">
      <pane ySplit="2" topLeftCell="A3" activePane="bottomLeft" state="frozen"/>
      <selection pane="bottomLeft" activeCell="I1" sqref="I1"/>
    </sheetView>
  </sheetViews>
  <sheetFormatPr defaultColWidth="14.44140625" defaultRowHeight="15.75" customHeight="1" x14ac:dyDescent="0.3"/>
  <cols>
    <col min="1" max="1" width="7.5546875" customWidth="1"/>
    <col min="2" max="2" width="14.5546875" customWidth="1"/>
    <col min="3" max="3" width="71.6640625" customWidth="1"/>
    <col min="4" max="4" width="7.33203125" customWidth="1"/>
    <col min="5" max="5" width="18.6640625" customWidth="1"/>
    <col min="6" max="6" width="11.88671875" customWidth="1"/>
    <col min="7" max="7" width="23.44140625" customWidth="1"/>
    <col min="8" max="8" width="51.33203125" customWidth="1"/>
    <col min="9" max="9" width="44.44140625" customWidth="1"/>
  </cols>
  <sheetData>
    <row r="2" spans="1:9" s="11" customFormat="1" ht="31.05" customHeight="1" x14ac:dyDescent="0.3">
      <c r="A2" s="9" t="s">
        <v>0</v>
      </c>
      <c r="B2" s="9" t="s">
        <v>1</v>
      </c>
      <c r="C2" s="9" t="s">
        <v>2</v>
      </c>
      <c r="D2" s="9" t="s">
        <v>3</v>
      </c>
      <c r="E2" s="10" t="s">
        <v>4</v>
      </c>
      <c r="F2" s="9" t="s">
        <v>5</v>
      </c>
      <c r="G2" s="10" t="s">
        <v>294</v>
      </c>
      <c r="H2" s="9" t="s">
        <v>6</v>
      </c>
      <c r="I2" s="9" t="s">
        <v>297</v>
      </c>
    </row>
    <row r="3" spans="1:9" ht="16.5" customHeight="1" x14ac:dyDescent="0.3">
      <c r="A3" s="1">
        <v>1</v>
      </c>
      <c r="B3" s="2" t="s">
        <v>15</v>
      </c>
      <c r="C3" s="5" t="s">
        <v>16</v>
      </c>
      <c r="D3" s="5" t="s">
        <v>13</v>
      </c>
      <c r="E3" s="6">
        <v>56757.5</v>
      </c>
      <c r="F3" s="8">
        <v>0.2</v>
      </c>
      <c r="G3" s="4">
        <f t="shared" ref="G3:G140" si="0">E3-(E3*F3)</f>
        <v>45406</v>
      </c>
      <c r="H3" s="3"/>
      <c r="I3" s="13" t="s">
        <v>298</v>
      </c>
    </row>
    <row r="4" spans="1:9" ht="16.5" customHeight="1" x14ac:dyDescent="0.3">
      <c r="A4" s="1">
        <f t="shared" ref="A4:A67" si="1">A3+1</f>
        <v>2</v>
      </c>
      <c r="B4" s="2" t="s">
        <v>17</v>
      </c>
      <c r="C4" s="5" t="s">
        <v>18</v>
      </c>
      <c r="D4" s="5" t="s">
        <v>13</v>
      </c>
      <c r="E4" s="6">
        <v>68626.25</v>
      </c>
      <c r="F4" s="8">
        <v>0.2</v>
      </c>
      <c r="G4" s="4">
        <f t="shared" si="0"/>
        <v>54901</v>
      </c>
      <c r="H4" s="3"/>
      <c r="I4" s="13" t="s">
        <v>298</v>
      </c>
    </row>
    <row r="5" spans="1:9" ht="16.5" customHeight="1" x14ac:dyDescent="0.3">
      <c r="A5" s="1">
        <f t="shared" si="1"/>
        <v>3</v>
      </c>
      <c r="B5" s="2" t="s">
        <v>19</v>
      </c>
      <c r="C5" s="5" t="s">
        <v>20</v>
      </c>
      <c r="D5" s="5" t="s">
        <v>13</v>
      </c>
      <c r="E5" s="6">
        <v>69423.53</v>
      </c>
      <c r="F5" s="8">
        <v>0.15</v>
      </c>
      <c r="G5" s="4">
        <f t="shared" si="0"/>
        <v>59010.000500000002</v>
      </c>
      <c r="H5" s="3"/>
      <c r="I5" s="13" t="s">
        <v>298</v>
      </c>
    </row>
    <row r="6" spans="1:9" ht="16.5" customHeight="1" x14ac:dyDescent="0.3">
      <c r="A6" s="1">
        <f t="shared" si="1"/>
        <v>4</v>
      </c>
      <c r="B6" s="2" t="s">
        <v>21</v>
      </c>
      <c r="C6" s="5" t="s">
        <v>22</v>
      </c>
      <c r="D6" s="5" t="s">
        <v>13</v>
      </c>
      <c r="E6" s="6">
        <v>24750</v>
      </c>
      <c r="F6" s="8">
        <v>0.2</v>
      </c>
      <c r="G6" s="4">
        <f t="shared" si="0"/>
        <v>19800</v>
      </c>
      <c r="H6" s="3"/>
      <c r="I6" s="13" t="s">
        <v>298</v>
      </c>
    </row>
    <row r="7" spans="1:9" ht="16.5" customHeight="1" x14ac:dyDescent="0.3">
      <c r="A7" s="1">
        <f t="shared" si="1"/>
        <v>5</v>
      </c>
      <c r="B7" s="2" t="s">
        <v>23</v>
      </c>
      <c r="C7" s="5" t="s">
        <v>24</v>
      </c>
      <c r="D7" s="5" t="s">
        <v>8</v>
      </c>
      <c r="E7" s="6">
        <v>46635.29</v>
      </c>
      <c r="F7" s="8">
        <v>0.15</v>
      </c>
      <c r="G7" s="4">
        <f t="shared" si="0"/>
        <v>39639.996500000001</v>
      </c>
      <c r="H7" s="3"/>
      <c r="I7" s="13" t="s">
        <v>298</v>
      </c>
    </row>
    <row r="8" spans="1:9" ht="16.5" customHeight="1" x14ac:dyDescent="0.3">
      <c r="A8" s="1">
        <f t="shared" si="1"/>
        <v>6</v>
      </c>
      <c r="B8" s="2" t="s">
        <v>25</v>
      </c>
      <c r="C8" s="12" t="s">
        <v>26</v>
      </c>
      <c r="D8" s="5" t="s">
        <v>8</v>
      </c>
      <c r="E8" s="6">
        <v>11530.49</v>
      </c>
      <c r="F8" s="8">
        <v>0.15</v>
      </c>
      <c r="G8" s="4">
        <f t="shared" si="0"/>
        <v>9800.9164999999994</v>
      </c>
      <c r="H8" s="3" t="s">
        <v>295</v>
      </c>
      <c r="I8" s="13" t="s">
        <v>298</v>
      </c>
    </row>
    <row r="9" spans="1:9" ht="16.5" customHeight="1" x14ac:dyDescent="0.3">
      <c r="A9" s="1">
        <f t="shared" si="1"/>
        <v>7</v>
      </c>
      <c r="B9" s="2" t="s">
        <v>27</v>
      </c>
      <c r="C9" s="5" t="s">
        <v>28</v>
      </c>
      <c r="D9" s="5" t="s">
        <v>7</v>
      </c>
      <c r="E9" s="6">
        <v>37000</v>
      </c>
      <c r="F9" s="8">
        <v>0.2</v>
      </c>
      <c r="G9" s="4">
        <f t="shared" si="0"/>
        <v>29600</v>
      </c>
      <c r="H9" s="3"/>
      <c r="I9" s="13" t="s">
        <v>298</v>
      </c>
    </row>
    <row r="10" spans="1:9" ht="16.5" customHeight="1" x14ac:dyDescent="0.3">
      <c r="A10" s="1">
        <f t="shared" si="1"/>
        <v>8</v>
      </c>
      <c r="B10" s="2" t="s">
        <v>29</v>
      </c>
      <c r="C10" s="5" t="s">
        <v>30</v>
      </c>
      <c r="D10" s="5" t="s">
        <v>7</v>
      </c>
      <c r="E10" s="6">
        <v>8875</v>
      </c>
      <c r="F10" s="8">
        <v>0.2</v>
      </c>
      <c r="G10" s="4">
        <f t="shared" si="0"/>
        <v>7100</v>
      </c>
      <c r="H10" s="3"/>
      <c r="I10" s="13" t="s">
        <v>298</v>
      </c>
    </row>
    <row r="11" spans="1:9" ht="16.5" customHeight="1" x14ac:dyDescent="0.3">
      <c r="A11" s="1">
        <f t="shared" si="1"/>
        <v>9</v>
      </c>
      <c r="B11" s="2" t="s">
        <v>31</v>
      </c>
      <c r="C11" s="5" t="s">
        <v>32</v>
      </c>
      <c r="D11" s="5" t="s">
        <v>7</v>
      </c>
      <c r="E11" s="6">
        <v>5000</v>
      </c>
      <c r="F11" s="8">
        <v>0.2</v>
      </c>
      <c r="G11" s="4">
        <f t="shared" si="0"/>
        <v>4000</v>
      </c>
      <c r="H11" s="3"/>
      <c r="I11" s="13" t="s">
        <v>298</v>
      </c>
    </row>
    <row r="12" spans="1:9" ht="16.5" customHeight="1" x14ac:dyDescent="0.3">
      <c r="A12" s="1">
        <f t="shared" si="1"/>
        <v>10</v>
      </c>
      <c r="B12" s="2" t="s">
        <v>33</v>
      </c>
      <c r="C12" s="12" t="s">
        <v>34</v>
      </c>
      <c r="D12" s="5" t="s">
        <v>14</v>
      </c>
      <c r="E12" s="6">
        <v>22235.29</v>
      </c>
      <c r="F12" s="8">
        <v>0.15</v>
      </c>
      <c r="G12" s="4">
        <f t="shared" si="0"/>
        <v>18899.996500000001</v>
      </c>
      <c r="H12" s="3" t="s">
        <v>296</v>
      </c>
      <c r="I12" s="13" t="s">
        <v>298</v>
      </c>
    </row>
    <row r="13" spans="1:9" ht="16.5" customHeight="1" x14ac:dyDescent="0.3">
      <c r="A13" s="1">
        <f t="shared" si="1"/>
        <v>11</v>
      </c>
      <c r="B13" s="2" t="s">
        <v>35</v>
      </c>
      <c r="C13" s="5" t="s">
        <v>36</v>
      </c>
      <c r="D13" s="5" t="s">
        <v>8</v>
      </c>
      <c r="E13" s="6">
        <v>36000</v>
      </c>
      <c r="F13" s="8">
        <v>0.15</v>
      </c>
      <c r="G13" s="4">
        <f t="shared" si="0"/>
        <v>30600</v>
      </c>
      <c r="H13" s="3"/>
      <c r="I13" s="13" t="s">
        <v>298</v>
      </c>
    </row>
    <row r="14" spans="1:9" ht="16.5" customHeight="1" x14ac:dyDescent="0.3">
      <c r="A14" s="1">
        <f t="shared" si="1"/>
        <v>12</v>
      </c>
      <c r="B14" s="2" t="s">
        <v>37</v>
      </c>
      <c r="C14" s="5" t="s">
        <v>38</v>
      </c>
      <c r="D14" s="5" t="s">
        <v>10</v>
      </c>
      <c r="E14" s="6">
        <v>58250</v>
      </c>
      <c r="F14" s="8">
        <v>0.2</v>
      </c>
      <c r="G14" s="4">
        <f t="shared" si="0"/>
        <v>46600</v>
      </c>
      <c r="H14" s="3"/>
      <c r="I14" s="13" t="s">
        <v>298</v>
      </c>
    </row>
    <row r="15" spans="1:9" s="22" customFormat="1" ht="16.5" customHeight="1" x14ac:dyDescent="0.3">
      <c r="A15" s="14">
        <f t="shared" si="1"/>
        <v>13</v>
      </c>
      <c r="B15" s="15" t="s">
        <v>39</v>
      </c>
      <c r="C15" s="16" t="s">
        <v>40</v>
      </c>
      <c r="D15" s="16" t="s">
        <v>10</v>
      </c>
      <c r="E15" s="17">
        <v>19875</v>
      </c>
      <c r="F15" s="18">
        <v>0.2</v>
      </c>
      <c r="G15" s="19">
        <f t="shared" si="0"/>
        <v>15900</v>
      </c>
      <c r="H15" s="20"/>
      <c r="I15" s="21"/>
    </row>
    <row r="16" spans="1:9" ht="16.5" customHeight="1" x14ac:dyDescent="0.3">
      <c r="A16" s="1">
        <f t="shared" si="1"/>
        <v>14</v>
      </c>
      <c r="B16" s="2" t="s">
        <v>41</v>
      </c>
      <c r="C16" s="5" t="s">
        <v>42</v>
      </c>
      <c r="D16" s="5" t="s">
        <v>13</v>
      </c>
      <c r="E16" s="6">
        <v>136875</v>
      </c>
      <c r="F16" s="8">
        <v>0.2</v>
      </c>
      <c r="G16" s="4">
        <f t="shared" si="0"/>
        <v>109500</v>
      </c>
      <c r="H16" s="3"/>
      <c r="I16" s="13" t="s">
        <v>298</v>
      </c>
    </row>
    <row r="17" spans="1:9" ht="16.5" customHeight="1" x14ac:dyDescent="0.3">
      <c r="A17" s="1">
        <f t="shared" si="1"/>
        <v>15</v>
      </c>
      <c r="B17" s="2" t="s">
        <v>43</v>
      </c>
      <c r="C17" s="5" t="s">
        <v>44</v>
      </c>
      <c r="D17" s="5" t="s">
        <v>13</v>
      </c>
      <c r="E17" s="6">
        <v>129411.76</v>
      </c>
      <c r="F17" s="8">
        <v>0.15</v>
      </c>
      <c r="G17" s="4">
        <f t="shared" si="0"/>
        <v>109999.996</v>
      </c>
      <c r="H17" s="3"/>
      <c r="I17" s="13" t="s">
        <v>298</v>
      </c>
    </row>
    <row r="18" spans="1:9" ht="16.5" customHeight="1" x14ac:dyDescent="0.3">
      <c r="A18" s="1">
        <f t="shared" si="1"/>
        <v>16</v>
      </c>
      <c r="B18" s="2" t="s">
        <v>45</v>
      </c>
      <c r="C18" s="5" t="s">
        <v>46</v>
      </c>
      <c r="D18" s="5" t="s">
        <v>7</v>
      </c>
      <c r="E18" s="6">
        <v>33125</v>
      </c>
      <c r="F18" s="8">
        <v>0.2</v>
      </c>
      <c r="G18" s="4">
        <f t="shared" si="0"/>
        <v>26500</v>
      </c>
      <c r="H18" s="3"/>
      <c r="I18" s="13" t="s">
        <v>298</v>
      </c>
    </row>
    <row r="19" spans="1:9" ht="16.5" customHeight="1" x14ac:dyDescent="0.3">
      <c r="A19" s="1">
        <f t="shared" si="1"/>
        <v>17</v>
      </c>
      <c r="B19" s="2" t="s">
        <v>47</v>
      </c>
      <c r="C19" s="5" t="s">
        <v>48</v>
      </c>
      <c r="D19" s="5" t="s">
        <v>8</v>
      </c>
      <c r="E19" s="6">
        <v>31988.639999999999</v>
      </c>
      <c r="F19" s="8">
        <v>0.12</v>
      </c>
      <c r="G19" s="4">
        <f t="shared" si="0"/>
        <v>28150.003199999999</v>
      </c>
      <c r="H19" s="3"/>
      <c r="I19" s="13" t="s">
        <v>298</v>
      </c>
    </row>
    <row r="20" spans="1:9" ht="16.5" customHeight="1" x14ac:dyDescent="0.3">
      <c r="A20" s="1">
        <f t="shared" si="1"/>
        <v>18</v>
      </c>
      <c r="B20" s="2" t="s">
        <v>49</v>
      </c>
      <c r="C20" s="5" t="s">
        <v>50</v>
      </c>
      <c r="D20" s="5" t="s">
        <v>51</v>
      </c>
      <c r="E20" s="6">
        <v>229104.71</v>
      </c>
      <c r="F20" s="8">
        <v>0.15</v>
      </c>
      <c r="G20" s="4">
        <f t="shared" si="0"/>
        <v>194739.00349999999</v>
      </c>
      <c r="H20" s="3"/>
      <c r="I20" s="13" t="s">
        <v>298</v>
      </c>
    </row>
    <row r="21" spans="1:9" ht="16.5" customHeight="1" x14ac:dyDescent="0.3">
      <c r="A21" s="1">
        <f t="shared" si="1"/>
        <v>19</v>
      </c>
      <c r="B21" s="2" t="s">
        <v>52</v>
      </c>
      <c r="C21" s="5" t="s">
        <v>53</v>
      </c>
      <c r="D21" s="5" t="s">
        <v>8</v>
      </c>
      <c r="E21" s="6">
        <v>9659.09</v>
      </c>
      <c r="F21" s="8">
        <v>0.12</v>
      </c>
      <c r="G21" s="4">
        <f t="shared" si="0"/>
        <v>8499.9992000000002</v>
      </c>
      <c r="H21" s="3"/>
      <c r="I21" s="13" t="s">
        <v>298</v>
      </c>
    </row>
    <row r="22" spans="1:9" ht="16.5" customHeight="1" x14ac:dyDescent="0.3">
      <c r="A22" s="1">
        <f t="shared" si="1"/>
        <v>20</v>
      </c>
      <c r="B22" s="2" t="s">
        <v>54</v>
      </c>
      <c r="C22" s="12" t="s">
        <v>55</v>
      </c>
      <c r="D22" s="5" t="s">
        <v>51</v>
      </c>
      <c r="E22" s="6">
        <v>148745.51</v>
      </c>
      <c r="F22" s="8">
        <v>0.15</v>
      </c>
      <c r="G22" s="4">
        <f t="shared" si="0"/>
        <v>126433.68350000001</v>
      </c>
      <c r="H22" s="3" t="s">
        <v>295</v>
      </c>
      <c r="I22" s="13" t="s">
        <v>298</v>
      </c>
    </row>
    <row r="23" spans="1:9" ht="16.5" customHeight="1" x14ac:dyDescent="0.3">
      <c r="A23" s="1">
        <f t="shared" si="1"/>
        <v>21</v>
      </c>
      <c r="B23" s="2" t="s">
        <v>56</v>
      </c>
      <c r="C23" s="5" t="s">
        <v>57</v>
      </c>
      <c r="D23" s="5" t="s">
        <v>7</v>
      </c>
      <c r="E23" s="6">
        <v>5823.53</v>
      </c>
      <c r="F23" s="8">
        <v>0.15</v>
      </c>
      <c r="G23" s="4">
        <f t="shared" si="0"/>
        <v>4950.0005000000001</v>
      </c>
      <c r="H23" s="3"/>
      <c r="I23" s="13" t="s">
        <v>298</v>
      </c>
    </row>
    <row r="24" spans="1:9" ht="16.5" customHeight="1" x14ac:dyDescent="0.3">
      <c r="A24" s="1">
        <f t="shared" si="1"/>
        <v>22</v>
      </c>
      <c r="B24" s="2" t="s">
        <v>58</v>
      </c>
      <c r="C24" s="5" t="s">
        <v>59</v>
      </c>
      <c r="D24" s="5" t="s">
        <v>7</v>
      </c>
      <c r="E24" s="6">
        <v>36282.35</v>
      </c>
      <c r="F24" s="8">
        <v>0.15</v>
      </c>
      <c r="G24" s="4">
        <f t="shared" si="0"/>
        <v>30839.997499999998</v>
      </c>
      <c r="H24" s="3"/>
      <c r="I24" s="13" t="s">
        <v>298</v>
      </c>
    </row>
    <row r="25" spans="1:9" ht="16.5" customHeight="1" x14ac:dyDescent="0.3">
      <c r="A25" s="1">
        <f t="shared" si="1"/>
        <v>23</v>
      </c>
      <c r="B25" s="2" t="s">
        <v>60</v>
      </c>
      <c r="C25" s="5" t="s">
        <v>61</v>
      </c>
      <c r="D25" s="5" t="s">
        <v>13</v>
      </c>
      <c r="E25" s="6">
        <v>326352.94</v>
      </c>
      <c r="F25" s="8">
        <v>0.15</v>
      </c>
      <c r="G25" s="4">
        <f t="shared" si="0"/>
        <v>277399.99900000001</v>
      </c>
      <c r="H25" s="3"/>
      <c r="I25" s="13" t="s">
        <v>298</v>
      </c>
    </row>
    <row r="26" spans="1:9" s="22" customFormat="1" ht="16.5" customHeight="1" x14ac:dyDescent="0.3">
      <c r="A26" s="14">
        <f t="shared" si="1"/>
        <v>24</v>
      </c>
      <c r="B26" s="15" t="s">
        <v>62</v>
      </c>
      <c r="C26" s="16" t="s">
        <v>63</v>
      </c>
      <c r="D26" s="16" t="s">
        <v>10</v>
      </c>
      <c r="E26" s="17">
        <v>13513.51</v>
      </c>
      <c r="F26" s="18">
        <v>0.15</v>
      </c>
      <c r="G26" s="19">
        <f t="shared" si="0"/>
        <v>11486.4835</v>
      </c>
      <c r="H26" s="20"/>
      <c r="I26" s="21"/>
    </row>
    <row r="27" spans="1:9" s="22" customFormat="1" ht="16.5" customHeight="1" x14ac:dyDescent="0.3">
      <c r="A27" s="14">
        <f t="shared" si="1"/>
        <v>25</v>
      </c>
      <c r="B27" s="15" t="s">
        <v>64</v>
      </c>
      <c r="C27" s="16" t="s">
        <v>65</v>
      </c>
      <c r="D27" s="16" t="s">
        <v>13</v>
      </c>
      <c r="E27" s="17">
        <v>568750</v>
      </c>
      <c r="F27" s="18">
        <v>0.2</v>
      </c>
      <c r="G27" s="19">
        <f t="shared" si="0"/>
        <v>455000</v>
      </c>
      <c r="H27" s="20"/>
      <c r="I27" s="21"/>
    </row>
    <row r="28" spans="1:9" s="22" customFormat="1" ht="16.5" customHeight="1" x14ac:dyDescent="0.3">
      <c r="A28" s="14">
        <f t="shared" si="1"/>
        <v>26</v>
      </c>
      <c r="B28" s="15" t="s">
        <v>66</v>
      </c>
      <c r="C28" s="16" t="s">
        <v>67</v>
      </c>
      <c r="D28" s="16" t="s">
        <v>13</v>
      </c>
      <c r="E28" s="17">
        <v>157375</v>
      </c>
      <c r="F28" s="18">
        <v>0.2</v>
      </c>
      <c r="G28" s="19">
        <f t="shared" si="0"/>
        <v>125900</v>
      </c>
      <c r="H28" s="20"/>
      <c r="I28" s="21"/>
    </row>
    <row r="29" spans="1:9" ht="16.5" customHeight="1" x14ac:dyDescent="0.3">
      <c r="A29" s="1">
        <f t="shared" si="1"/>
        <v>27</v>
      </c>
      <c r="B29" s="2" t="s">
        <v>68</v>
      </c>
      <c r="C29" s="5" t="s">
        <v>69</v>
      </c>
      <c r="D29" s="5" t="s">
        <v>7</v>
      </c>
      <c r="E29" s="6">
        <v>15236.47</v>
      </c>
      <c r="F29" s="8">
        <v>0.15</v>
      </c>
      <c r="G29" s="4">
        <f t="shared" si="0"/>
        <v>12950.9995</v>
      </c>
      <c r="H29" s="3"/>
      <c r="I29" s="13" t="s">
        <v>298</v>
      </c>
    </row>
    <row r="30" spans="1:9" ht="16.5" customHeight="1" x14ac:dyDescent="0.3">
      <c r="A30" s="1">
        <f t="shared" si="1"/>
        <v>28</v>
      </c>
      <c r="B30" s="2" t="s">
        <v>70</v>
      </c>
      <c r="C30" s="5" t="s">
        <v>71</v>
      </c>
      <c r="D30" s="5" t="s">
        <v>7</v>
      </c>
      <c r="E30" s="6">
        <v>19307.5</v>
      </c>
      <c r="F30" s="8">
        <v>0.2</v>
      </c>
      <c r="G30" s="4">
        <f t="shared" si="0"/>
        <v>15446</v>
      </c>
      <c r="H30" s="3"/>
      <c r="I30" s="13" t="s">
        <v>298</v>
      </c>
    </row>
    <row r="31" spans="1:9" ht="16.5" customHeight="1" x14ac:dyDescent="0.3">
      <c r="A31" s="1">
        <f t="shared" si="1"/>
        <v>29</v>
      </c>
      <c r="B31" s="2" t="s">
        <v>72</v>
      </c>
      <c r="C31" s="5" t="s">
        <v>73</v>
      </c>
      <c r="D31" s="5" t="s">
        <v>7</v>
      </c>
      <c r="E31" s="6">
        <v>13125</v>
      </c>
      <c r="F31" s="8">
        <v>0.2</v>
      </c>
      <c r="G31" s="4">
        <f t="shared" si="0"/>
        <v>10500</v>
      </c>
      <c r="H31" s="3"/>
      <c r="I31" s="13" t="s">
        <v>298</v>
      </c>
    </row>
    <row r="32" spans="1:9" ht="16.5" customHeight="1" x14ac:dyDescent="0.3">
      <c r="A32" s="1">
        <f t="shared" si="1"/>
        <v>30</v>
      </c>
      <c r="B32" s="2" t="s">
        <v>74</v>
      </c>
      <c r="C32" s="5" t="s">
        <v>75</v>
      </c>
      <c r="D32" s="5" t="s">
        <v>8</v>
      </c>
      <c r="E32" s="6">
        <v>40750</v>
      </c>
      <c r="F32" s="8">
        <v>0.2</v>
      </c>
      <c r="G32" s="4">
        <f t="shared" si="0"/>
        <v>32600</v>
      </c>
      <c r="H32" s="3"/>
      <c r="I32" s="13" t="s">
        <v>298</v>
      </c>
    </row>
    <row r="33" spans="1:9" s="22" customFormat="1" ht="16.5" customHeight="1" x14ac:dyDescent="0.3">
      <c r="A33" s="14">
        <f t="shared" si="1"/>
        <v>31</v>
      </c>
      <c r="B33" s="15" t="s">
        <v>76</v>
      </c>
      <c r="C33" s="16" t="s">
        <v>77</v>
      </c>
      <c r="D33" s="16" t="s">
        <v>7</v>
      </c>
      <c r="E33" s="17">
        <v>55763.53</v>
      </c>
      <c r="F33" s="18">
        <v>0.15</v>
      </c>
      <c r="G33" s="19">
        <f t="shared" si="0"/>
        <v>47399.000500000002</v>
      </c>
      <c r="H33" s="20"/>
      <c r="I33" s="21"/>
    </row>
    <row r="34" spans="1:9" s="22" customFormat="1" ht="16.5" customHeight="1" x14ac:dyDescent="0.3">
      <c r="A34" s="14">
        <f t="shared" si="1"/>
        <v>32</v>
      </c>
      <c r="B34" s="15" t="s">
        <v>78</v>
      </c>
      <c r="C34" s="16" t="s">
        <v>79</v>
      </c>
      <c r="D34" s="16" t="s">
        <v>7</v>
      </c>
      <c r="E34" s="17">
        <v>43455.29</v>
      </c>
      <c r="F34" s="18">
        <v>0.15</v>
      </c>
      <c r="G34" s="19">
        <f t="shared" si="0"/>
        <v>36936.996500000001</v>
      </c>
      <c r="H34" s="20"/>
      <c r="I34" s="21"/>
    </row>
    <row r="35" spans="1:9" s="22" customFormat="1" ht="16.5" customHeight="1" x14ac:dyDescent="0.3">
      <c r="A35" s="14">
        <f t="shared" si="1"/>
        <v>33</v>
      </c>
      <c r="B35" s="15" t="s">
        <v>80</v>
      </c>
      <c r="C35" s="16" t="s">
        <v>81</v>
      </c>
      <c r="D35" s="16" t="s">
        <v>7</v>
      </c>
      <c r="E35" s="17">
        <v>43455.29</v>
      </c>
      <c r="F35" s="18">
        <v>0.15</v>
      </c>
      <c r="G35" s="19">
        <f t="shared" si="0"/>
        <v>36936.996500000001</v>
      </c>
      <c r="H35" s="20"/>
      <c r="I35" s="21"/>
    </row>
    <row r="36" spans="1:9" s="22" customFormat="1" ht="16.5" customHeight="1" x14ac:dyDescent="0.3">
      <c r="A36" s="14">
        <f t="shared" si="1"/>
        <v>34</v>
      </c>
      <c r="B36" s="15" t="s">
        <v>82</v>
      </c>
      <c r="C36" s="16" t="s">
        <v>83</v>
      </c>
      <c r="D36" s="16" t="s">
        <v>13</v>
      </c>
      <c r="E36" s="17">
        <v>360000</v>
      </c>
      <c r="F36" s="18">
        <v>0.2</v>
      </c>
      <c r="G36" s="19">
        <f t="shared" si="0"/>
        <v>288000</v>
      </c>
      <c r="H36" s="20"/>
      <c r="I36" s="21"/>
    </row>
    <row r="37" spans="1:9" ht="16.5" customHeight="1" x14ac:dyDescent="0.3">
      <c r="A37" s="1">
        <f t="shared" si="1"/>
        <v>35</v>
      </c>
      <c r="B37" s="2" t="s">
        <v>84</v>
      </c>
      <c r="C37" s="5" t="s">
        <v>85</v>
      </c>
      <c r="D37" s="5" t="s">
        <v>7</v>
      </c>
      <c r="E37" s="6">
        <v>49583.75</v>
      </c>
      <c r="F37" s="8">
        <v>0.2</v>
      </c>
      <c r="G37" s="4">
        <f t="shared" si="0"/>
        <v>39667</v>
      </c>
      <c r="H37" s="3"/>
      <c r="I37" s="13" t="s">
        <v>298</v>
      </c>
    </row>
    <row r="38" spans="1:9" ht="16.5" customHeight="1" x14ac:dyDescent="0.3">
      <c r="A38" s="1">
        <f t="shared" si="1"/>
        <v>36</v>
      </c>
      <c r="B38" s="2" t="s">
        <v>86</v>
      </c>
      <c r="C38" s="5" t="s">
        <v>87</v>
      </c>
      <c r="D38" s="5" t="s">
        <v>7</v>
      </c>
      <c r="E38" s="6">
        <v>5875</v>
      </c>
      <c r="F38" s="8">
        <v>0.2</v>
      </c>
      <c r="G38" s="4">
        <f t="shared" si="0"/>
        <v>4700</v>
      </c>
      <c r="H38" s="3"/>
      <c r="I38" s="13" t="s">
        <v>298</v>
      </c>
    </row>
    <row r="39" spans="1:9" s="22" customFormat="1" ht="16.5" customHeight="1" x14ac:dyDescent="0.3">
      <c r="A39" s="14">
        <f t="shared" si="1"/>
        <v>37</v>
      </c>
      <c r="B39" s="15" t="s">
        <v>88</v>
      </c>
      <c r="C39" s="16" t="s">
        <v>89</v>
      </c>
      <c r="D39" s="16" t="s">
        <v>7</v>
      </c>
      <c r="E39" s="17">
        <v>49412.5</v>
      </c>
      <c r="F39" s="18">
        <v>0.2</v>
      </c>
      <c r="G39" s="19">
        <f t="shared" si="0"/>
        <v>39530</v>
      </c>
      <c r="H39" s="20"/>
      <c r="I39" s="21"/>
    </row>
    <row r="40" spans="1:9" ht="16.5" customHeight="1" x14ac:dyDescent="0.3">
      <c r="A40" s="1">
        <f t="shared" si="1"/>
        <v>38</v>
      </c>
      <c r="B40" s="2" t="s">
        <v>90</v>
      </c>
      <c r="C40" s="5" t="s">
        <v>91</v>
      </c>
      <c r="D40" s="5" t="s">
        <v>7</v>
      </c>
      <c r="E40" s="6">
        <v>11875</v>
      </c>
      <c r="F40" s="8">
        <v>0.2</v>
      </c>
      <c r="G40" s="4">
        <f t="shared" si="0"/>
        <v>9500</v>
      </c>
      <c r="H40" s="3"/>
      <c r="I40" s="13" t="s">
        <v>298</v>
      </c>
    </row>
    <row r="41" spans="1:9" ht="16.5" customHeight="1" x14ac:dyDescent="0.3">
      <c r="A41" s="1">
        <f t="shared" si="1"/>
        <v>39</v>
      </c>
      <c r="B41" s="2" t="s">
        <v>92</v>
      </c>
      <c r="C41" s="5" t="s">
        <v>93</v>
      </c>
      <c r="D41" s="5" t="s">
        <v>7</v>
      </c>
      <c r="E41" s="6">
        <v>22500</v>
      </c>
      <c r="F41" s="8">
        <v>0.2</v>
      </c>
      <c r="G41" s="4">
        <f t="shared" si="0"/>
        <v>18000</v>
      </c>
      <c r="H41" s="3"/>
      <c r="I41" s="13" t="s">
        <v>298</v>
      </c>
    </row>
    <row r="42" spans="1:9" ht="16.5" customHeight="1" x14ac:dyDescent="0.3">
      <c r="A42" s="1">
        <f t="shared" si="1"/>
        <v>40</v>
      </c>
      <c r="B42" s="2" t="s">
        <v>94</v>
      </c>
      <c r="C42" s="5" t="s">
        <v>95</v>
      </c>
      <c r="D42" s="5" t="s">
        <v>13</v>
      </c>
      <c r="E42" s="6">
        <v>143750</v>
      </c>
      <c r="F42" s="8">
        <v>0.2</v>
      </c>
      <c r="G42" s="4">
        <f t="shared" si="0"/>
        <v>115000</v>
      </c>
      <c r="H42" s="3"/>
      <c r="I42" s="13" t="s">
        <v>298</v>
      </c>
    </row>
    <row r="43" spans="1:9" s="22" customFormat="1" ht="16.5" customHeight="1" x14ac:dyDescent="0.3">
      <c r="A43" s="14">
        <f t="shared" si="1"/>
        <v>41</v>
      </c>
      <c r="B43" s="15" t="s">
        <v>96</v>
      </c>
      <c r="C43" s="16" t="s">
        <v>97</v>
      </c>
      <c r="D43" s="16" t="s">
        <v>13</v>
      </c>
      <c r="E43" s="17">
        <v>62500</v>
      </c>
      <c r="F43" s="18">
        <v>0.2</v>
      </c>
      <c r="G43" s="19">
        <f t="shared" si="0"/>
        <v>50000</v>
      </c>
      <c r="H43" s="20"/>
      <c r="I43" s="21"/>
    </row>
    <row r="44" spans="1:9" s="22" customFormat="1" ht="16.5" customHeight="1" x14ac:dyDescent="0.3">
      <c r="A44" s="14">
        <f t="shared" si="1"/>
        <v>42</v>
      </c>
      <c r="B44" s="15" t="s">
        <v>98</v>
      </c>
      <c r="C44" s="16" t="s">
        <v>99</v>
      </c>
      <c r="D44" s="16" t="s">
        <v>7</v>
      </c>
      <c r="E44" s="17">
        <v>28088.240000000002</v>
      </c>
      <c r="F44" s="18">
        <v>0.15</v>
      </c>
      <c r="G44" s="19">
        <f t="shared" si="0"/>
        <v>23875.004000000001</v>
      </c>
      <c r="H44" s="20"/>
      <c r="I44" s="21"/>
    </row>
    <row r="45" spans="1:9" ht="16.5" customHeight="1" x14ac:dyDescent="0.3">
      <c r="A45" s="1">
        <f t="shared" si="1"/>
        <v>43</v>
      </c>
      <c r="B45" s="2" t="s">
        <v>100</v>
      </c>
      <c r="C45" s="5" t="s">
        <v>101</v>
      </c>
      <c r="D45" s="5" t="s">
        <v>8</v>
      </c>
      <c r="E45" s="6">
        <v>19886.36</v>
      </c>
      <c r="F45" s="8">
        <v>0.12</v>
      </c>
      <c r="G45" s="4">
        <f t="shared" si="0"/>
        <v>17499.996800000001</v>
      </c>
      <c r="H45" s="3"/>
      <c r="I45" s="13" t="s">
        <v>298</v>
      </c>
    </row>
    <row r="46" spans="1:9" s="22" customFormat="1" ht="16.5" customHeight="1" x14ac:dyDescent="0.3">
      <c r="A46" s="14">
        <f t="shared" si="1"/>
        <v>44</v>
      </c>
      <c r="B46" s="15" t="s">
        <v>102</v>
      </c>
      <c r="C46" s="16" t="s">
        <v>103</v>
      </c>
      <c r="D46" s="16" t="s">
        <v>13</v>
      </c>
      <c r="E46" s="17">
        <v>912588.24</v>
      </c>
      <c r="F46" s="18">
        <v>0.15</v>
      </c>
      <c r="G46" s="19">
        <f t="shared" si="0"/>
        <v>775700.00399999996</v>
      </c>
      <c r="H46" s="20"/>
      <c r="I46" s="21"/>
    </row>
    <row r="47" spans="1:9" ht="16.5" customHeight="1" x14ac:dyDescent="0.3">
      <c r="A47" s="1">
        <f t="shared" si="1"/>
        <v>45</v>
      </c>
      <c r="B47" s="2" t="s">
        <v>104</v>
      </c>
      <c r="C47" s="5" t="s">
        <v>105</v>
      </c>
      <c r="D47" s="5" t="s">
        <v>8</v>
      </c>
      <c r="E47" s="6">
        <v>8255.68</v>
      </c>
      <c r="F47" s="8">
        <v>0.12</v>
      </c>
      <c r="G47" s="4">
        <f t="shared" si="0"/>
        <v>7264.9984000000004</v>
      </c>
      <c r="H47" s="3"/>
      <c r="I47" s="13" t="s">
        <v>298</v>
      </c>
    </row>
    <row r="48" spans="1:9" ht="16.5" customHeight="1" x14ac:dyDescent="0.3">
      <c r="A48" s="1">
        <f t="shared" si="1"/>
        <v>46</v>
      </c>
      <c r="B48" s="2" t="s">
        <v>106</v>
      </c>
      <c r="C48" s="5" t="s">
        <v>107</v>
      </c>
      <c r="D48" s="5" t="s">
        <v>51</v>
      </c>
      <c r="E48" s="6">
        <v>124300</v>
      </c>
      <c r="F48" s="8">
        <v>0.15</v>
      </c>
      <c r="G48" s="4">
        <f t="shared" si="0"/>
        <v>105655</v>
      </c>
      <c r="H48" s="3"/>
      <c r="I48" s="13" t="s">
        <v>298</v>
      </c>
    </row>
    <row r="49" spans="1:9" s="22" customFormat="1" ht="16.5" customHeight="1" x14ac:dyDescent="0.3">
      <c r="A49" s="14">
        <f t="shared" si="1"/>
        <v>47</v>
      </c>
      <c r="B49" s="15" t="s">
        <v>108</v>
      </c>
      <c r="C49" s="16" t="s">
        <v>109</v>
      </c>
      <c r="D49" s="16" t="s">
        <v>8</v>
      </c>
      <c r="E49" s="17">
        <v>63300</v>
      </c>
      <c r="F49" s="18">
        <v>0.15</v>
      </c>
      <c r="G49" s="19">
        <f t="shared" si="0"/>
        <v>53805</v>
      </c>
      <c r="H49" s="20"/>
      <c r="I49" s="21"/>
    </row>
    <row r="50" spans="1:9" s="22" customFormat="1" ht="16.5" customHeight="1" x14ac:dyDescent="0.3">
      <c r="A50" s="14">
        <f t="shared" si="1"/>
        <v>48</v>
      </c>
      <c r="B50" s="15" t="s">
        <v>110</v>
      </c>
      <c r="C50" s="23" t="s">
        <v>111</v>
      </c>
      <c r="D50" s="16" t="s">
        <v>51</v>
      </c>
      <c r="E50" s="17">
        <v>110426.51</v>
      </c>
      <c r="F50" s="18">
        <v>0.15</v>
      </c>
      <c r="G50" s="19">
        <f t="shared" si="0"/>
        <v>93862.53349999999</v>
      </c>
      <c r="H50" s="20" t="s">
        <v>295</v>
      </c>
      <c r="I50" s="21"/>
    </row>
    <row r="51" spans="1:9" ht="16.5" customHeight="1" x14ac:dyDescent="0.3">
      <c r="A51" s="1">
        <f t="shared" si="1"/>
        <v>49</v>
      </c>
      <c r="B51" s="2" t="s">
        <v>112</v>
      </c>
      <c r="C51" s="5" t="s">
        <v>113</v>
      </c>
      <c r="D51" s="5" t="s">
        <v>7</v>
      </c>
      <c r="E51" s="6">
        <v>8530.68</v>
      </c>
      <c r="F51" s="8">
        <v>0.12</v>
      </c>
      <c r="G51" s="4">
        <f t="shared" si="0"/>
        <v>7506.9984000000004</v>
      </c>
      <c r="H51" s="3"/>
      <c r="I51" s="13" t="s">
        <v>298</v>
      </c>
    </row>
    <row r="52" spans="1:9" ht="16.5" customHeight="1" x14ac:dyDescent="0.3">
      <c r="A52" s="1">
        <f t="shared" si="1"/>
        <v>50</v>
      </c>
      <c r="B52" s="2" t="s">
        <v>114</v>
      </c>
      <c r="C52" s="5" t="s">
        <v>115</v>
      </c>
      <c r="D52" s="5" t="s">
        <v>7</v>
      </c>
      <c r="E52" s="6">
        <v>7294.12</v>
      </c>
      <c r="F52" s="8">
        <v>0.15</v>
      </c>
      <c r="G52" s="4">
        <f t="shared" si="0"/>
        <v>6200.0020000000004</v>
      </c>
      <c r="H52" s="3"/>
      <c r="I52" s="13" t="s">
        <v>298</v>
      </c>
    </row>
    <row r="53" spans="1:9" ht="16.5" customHeight="1" x14ac:dyDescent="0.3">
      <c r="A53" s="1">
        <f t="shared" si="1"/>
        <v>51</v>
      </c>
      <c r="B53" s="2" t="s">
        <v>116</v>
      </c>
      <c r="C53" s="5" t="s">
        <v>117</v>
      </c>
      <c r="D53" s="5" t="s">
        <v>7</v>
      </c>
      <c r="E53" s="6">
        <v>17250</v>
      </c>
      <c r="F53" s="8">
        <v>0.2</v>
      </c>
      <c r="G53" s="4">
        <f t="shared" si="0"/>
        <v>13800</v>
      </c>
      <c r="H53" s="3"/>
      <c r="I53" s="13" t="s">
        <v>298</v>
      </c>
    </row>
    <row r="54" spans="1:9" ht="16.5" customHeight="1" x14ac:dyDescent="0.3">
      <c r="A54" s="1">
        <f t="shared" si="1"/>
        <v>52</v>
      </c>
      <c r="B54" s="2" t="s">
        <v>118</v>
      </c>
      <c r="C54" s="5" t="s">
        <v>119</v>
      </c>
      <c r="D54" s="5" t="s">
        <v>7</v>
      </c>
      <c r="E54" s="6">
        <v>6500</v>
      </c>
      <c r="F54" s="8">
        <v>0.2</v>
      </c>
      <c r="G54" s="4">
        <f t="shared" si="0"/>
        <v>5200</v>
      </c>
      <c r="H54" s="3"/>
      <c r="I54" s="13" t="s">
        <v>298</v>
      </c>
    </row>
    <row r="55" spans="1:9" ht="16.5" customHeight="1" x14ac:dyDescent="0.3">
      <c r="A55" s="1">
        <f t="shared" si="1"/>
        <v>53</v>
      </c>
      <c r="B55" s="2" t="s">
        <v>120</v>
      </c>
      <c r="C55" s="5" t="s">
        <v>121</v>
      </c>
      <c r="D55" s="5" t="s">
        <v>13</v>
      </c>
      <c r="E55" s="6">
        <v>125000</v>
      </c>
      <c r="F55" s="8">
        <v>0.2</v>
      </c>
      <c r="G55" s="4">
        <f t="shared" si="0"/>
        <v>100000</v>
      </c>
      <c r="H55" s="3"/>
      <c r="I55" s="13" t="s">
        <v>298</v>
      </c>
    </row>
    <row r="56" spans="1:9" ht="16.5" customHeight="1" x14ac:dyDescent="0.3">
      <c r="A56" s="1">
        <f t="shared" si="1"/>
        <v>54</v>
      </c>
      <c r="B56" s="2" t="s">
        <v>122</v>
      </c>
      <c r="C56" s="5" t="s">
        <v>123</v>
      </c>
      <c r="D56" s="5" t="s">
        <v>11</v>
      </c>
      <c r="E56" s="6">
        <v>13375</v>
      </c>
      <c r="F56" s="8">
        <v>0.2</v>
      </c>
      <c r="G56" s="4">
        <f t="shared" si="0"/>
        <v>10700</v>
      </c>
      <c r="H56" s="3"/>
      <c r="I56" s="13" t="s">
        <v>298</v>
      </c>
    </row>
    <row r="57" spans="1:9" ht="16.5" customHeight="1" x14ac:dyDescent="0.3">
      <c r="A57" s="1">
        <f t="shared" si="1"/>
        <v>55</v>
      </c>
      <c r="B57" s="2" t="s">
        <v>124</v>
      </c>
      <c r="C57" s="5" t="s">
        <v>125</v>
      </c>
      <c r="D57" s="5" t="s">
        <v>7</v>
      </c>
      <c r="E57" s="6">
        <v>12941.18</v>
      </c>
      <c r="F57" s="8">
        <v>0.15</v>
      </c>
      <c r="G57" s="4">
        <f t="shared" si="0"/>
        <v>11000.003000000001</v>
      </c>
      <c r="H57" s="3"/>
      <c r="I57" s="13" t="s">
        <v>298</v>
      </c>
    </row>
    <row r="58" spans="1:9" ht="16.5" customHeight="1" x14ac:dyDescent="0.3">
      <c r="A58" s="1">
        <f t="shared" si="1"/>
        <v>56</v>
      </c>
      <c r="B58" s="2" t="s">
        <v>126</v>
      </c>
      <c r="C58" s="5" t="s">
        <v>127</v>
      </c>
      <c r="D58" s="5" t="s">
        <v>7</v>
      </c>
      <c r="E58" s="6">
        <v>6250</v>
      </c>
      <c r="F58" s="8">
        <v>0.2</v>
      </c>
      <c r="G58" s="4">
        <f t="shared" si="0"/>
        <v>5000</v>
      </c>
      <c r="H58" s="3"/>
      <c r="I58" s="13" t="s">
        <v>298</v>
      </c>
    </row>
    <row r="59" spans="1:9" ht="16.5" customHeight="1" x14ac:dyDescent="0.3">
      <c r="A59" s="1">
        <f t="shared" si="1"/>
        <v>57</v>
      </c>
      <c r="B59" s="2" t="s">
        <v>128</v>
      </c>
      <c r="C59" s="5" t="s">
        <v>129</v>
      </c>
      <c r="D59" s="5" t="s">
        <v>10</v>
      </c>
      <c r="E59" s="6">
        <v>67647.06</v>
      </c>
      <c r="F59" s="8">
        <v>0.15</v>
      </c>
      <c r="G59" s="4">
        <f t="shared" si="0"/>
        <v>57500.000999999997</v>
      </c>
      <c r="H59" s="3"/>
      <c r="I59" s="13" t="s">
        <v>298</v>
      </c>
    </row>
    <row r="60" spans="1:9" ht="16.5" customHeight="1" x14ac:dyDescent="0.3">
      <c r="A60" s="1">
        <f t="shared" si="1"/>
        <v>58</v>
      </c>
      <c r="B60" s="2" t="s">
        <v>130</v>
      </c>
      <c r="C60" s="5" t="s">
        <v>131</v>
      </c>
      <c r="D60" s="5" t="s">
        <v>7</v>
      </c>
      <c r="E60" s="6">
        <v>12305.88</v>
      </c>
      <c r="F60" s="8">
        <v>0.15</v>
      </c>
      <c r="G60" s="4">
        <f t="shared" si="0"/>
        <v>10459.998</v>
      </c>
      <c r="H60" s="3"/>
      <c r="I60" s="13" t="s">
        <v>298</v>
      </c>
    </row>
    <row r="61" spans="1:9" ht="16.5" customHeight="1" x14ac:dyDescent="0.3">
      <c r="A61" s="1">
        <f t="shared" si="1"/>
        <v>59</v>
      </c>
      <c r="B61" s="2" t="s">
        <v>132</v>
      </c>
      <c r="C61" s="5" t="s">
        <v>133</v>
      </c>
      <c r="D61" s="5" t="s">
        <v>8</v>
      </c>
      <c r="E61" s="6">
        <v>21875</v>
      </c>
      <c r="F61" s="8">
        <v>0.2</v>
      </c>
      <c r="G61" s="4">
        <f t="shared" si="0"/>
        <v>17500</v>
      </c>
      <c r="H61" s="3"/>
      <c r="I61" s="13" t="s">
        <v>298</v>
      </c>
    </row>
    <row r="62" spans="1:9" ht="16.5" customHeight="1" x14ac:dyDescent="0.3">
      <c r="A62" s="1">
        <f t="shared" si="1"/>
        <v>60</v>
      </c>
      <c r="B62" s="2" t="s">
        <v>134</v>
      </c>
      <c r="C62" s="5" t="s">
        <v>135</v>
      </c>
      <c r="D62" s="5" t="s">
        <v>8</v>
      </c>
      <c r="E62" s="6">
        <v>34875</v>
      </c>
      <c r="F62" s="8">
        <v>0.2</v>
      </c>
      <c r="G62" s="4">
        <f t="shared" si="0"/>
        <v>27900</v>
      </c>
      <c r="H62" s="3"/>
      <c r="I62" s="13" t="s">
        <v>298</v>
      </c>
    </row>
    <row r="63" spans="1:9" ht="16.5" customHeight="1" x14ac:dyDescent="0.3">
      <c r="A63" s="1">
        <f t="shared" si="1"/>
        <v>61</v>
      </c>
      <c r="B63" s="2" t="s">
        <v>136</v>
      </c>
      <c r="C63" s="12" t="s">
        <v>137</v>
      </c>
      <c r="D63" s="5" t="s">
        <v>7</v>
      </c>
      <c r="E63" s="6">
        <v>48868.24</v>
      </c>
      <c r="F63" s="8">
        <v>0.15</v>
      </c>
      <c r="G63" s="4">
        <f t="shared" si="0"/>
        <v>41538.004000000001</v>
      </c>
      <c r="H63" s="3" t="s">
        <v>295</v>
      </c>
      <c r="I63" s="13" t="s">
        <v>298</v>
      </c>
    </row>
    <row r="64" spans="1:9" ht="16.5" customHeight="1" x14ac:dyDescent="0.3">
      <c r="A64" s="1">
        <f t="shared" si="1"/>
        <v>62</v>
      </c>
      <c r="B64" s="2" t="s">
        <v>138</v>
      </c>
      <c r="C64" s="5" t="s">
        <v>139</v>
      </c>
      <c r="D64" s="5" t="s">
        <v>7</v>
      </c>
      <c r="E64" s="6">
        <v>9856.92</v>
      </c>
      <c r="F64" s="8">
        <v>0.15</v>
      </c>
      <c r="G64" s="4">
        <f t="shared" si="0"/>
        <v>8378.3819999999996</v>
      </c>
      <c r="H64" s="3"/>
      <c r="I64" s="13" t="s">
        <v>298</v>
      </c>
    </row>
    <row r="65" spans="1:9" ht="16.5" customHeight="1" x14ac:dyDescent="0.3">
      <c r="A65" s="1">
        <f t="shared" si="1"/>
        <v>63</v>
      </c>
      <c r="B65" s="2" t="s">
        <v>140</v>
      </c>
      <c r="C65" s="5" t="s">
        <v>141</v>
      </c>
      <c r="D65" s="5" t="s">
        <v>7</v>
      </c>
      <c r="E65" s="6">
        <v>9856.92</v>
      </c>
      <c r="F65" s="8">
        <v>0.15</v>
      </c>
      <c r="G65" s="4">
        <f t="shared" si="0"/>
        <v>8378.3819999999996</v>
      </c>
      <c r="H65" s="3"/>
      <c r="I65" s="13" t="s">
        <v>298</v>
      </c>
    </row>
    <row r="66" spans="1:9" ht="16.5" customHeight="1" x14ac:dyDescent="0.3">
      <c r="A66" s="1">
        <f t="shared" si="1"/>
        <v>64</v>
      </c>
      <c r="B66" s="2" t="s">
        <v>142</v>
      </c>
      <c r="C66" s="5" t="s">
        <v>143</v>
      </c>
      <c r="D66" s="5" t="s">
        <v>7</v>
      </c>
      <c r="E66" s="6">
        <v>58235.29</v>
      </c>
      <c r="F66" s="8">
        <v>0.15</v>
      </c>
      <c r="G66" s="4">
        <f t="shared" si="0"/>
        <v>49499.996500000001</v>
      </c>
      <c r="H66" s="3"/>
      <c r="I66" s="13" t="s">
        <v>298</v>
      </c>
    </row>
    <row r="67" spans="1:9" ht="16.5" customHeight="1" x14ac:dyDescent="0.3">
      <c r="A67" s="1">
        <f t="shared" si="1"/>
        <v>65</v>
      </c>
      <c r="B67" s="2" t="s">
        <v>144</v>
      </c>
      <c r="C67" s="5" t="s">
        <v>145</v>
      </c>
      <c r="D67" s="5" t="s">
        <v>7</v>
      </c>
      <c r="E67" s="6">
        <v>82588.240000000005</v>
      </c>
      <c r="F67" s="8">
        <v>0.15</v>
      </c>
      <c r="G67" s="4">
        <f t="shared" si="0"/>
        <v>70200.004000000001</v>
      </c>
      <c r="H67" s="3"/>
      <c r="I67" s="13" t="s">
        <v>298</v>
      </c>
    </row>
    <row r="68" spans="1:9" ht="16.5" customHeight="1" x14ac:dyDescent="0.3">
      <c r="A68" s="1">
        <f t="shared" ref="A68:A131" si="2">A67+1</f>
        <v>66</v>
      </c>
      <c r="B68" s="2" t="s">
        <v>146</v>
      </c>
      <c r="C68" s="5" t="s">
        <v>147</v>
      </c>
      <c r="D68" s="5" t="s">
        <v>7</v>
      </c>
      <c r="E68" s="6">
        <v>12777.78</v>
      </c>
      <c r="F68" s="8">
        <v>0.1</v>
      </c>
      <c r="G68" s="4">
        <f t="shared" si="0"/>
        <v>11500.002</v>
      </c>
      <c r="H68" s="3"/>
      <c r="I68" s="13" t="s">
        <v>298</v>
      </c>
    </row>
    <row r="69" spans="1:9" ht="16.5" customHeight="1" x14ac:dyDescent="0.3">
      <c r="A69" s="1">
        <f t="shared" si="2"/>
        <v>67</v>
      </c>
      <c r="B69" s="2" t="s">
        <v>148</v>
      </c>
      <c r="C69" s="5" t="s">
        <v>149</v>
      </c>
      <c r="D69" s="5" t="s">
        <v>7</v>
      </c>
      <c r="E69" s="6">
        <v>21529.21</v>
      </c>
      <c r="F69" s="8">
        <v>0.15</v>
      </c>
      <c r="G69" s="4">
        <f t="shared" si="0"/>
        <v>18299.8285</v>
      </c>
      <c r="H69" s="3"/>
      <c r="I69" s="13" t="s">
        <v>298</v>
      </c>
    </row>
    <row r="70" spans="1:9" ht="16.5" customHeight="1" x14ac:dyDescent="0.3">
      <c r="A70" s="1">
        <f t="shared" si="2"/>
        <v>68</v>
      </c>
      <c r="B70" s="2" t="s">
        <v>150</v>
      </c>
      <c r="C70" s="5" t="s">
        <v>151</v>
      </c>
      <c r="D70" s="5" t="s">
        <v>51</v>
      </c>
      <c r="E70" s="6">
        <v>117742.11</v>
      </c>
      <c r="F70" s="8">
        <v>0.2</v>
      </c>
      <c r="G70" s="4">
        <f t="shared" si="0"/>
        <v>94193.687999999995</v>
      </c>
      <c r="H70" s="3"/>
      <c r="I70" s="13" t="s">
        <v>298</v>
      </c>
    </row>
    <row r="71" spans="1:9" ht="16.5" customHeight="1" x14ac:dyDescent="0.3">
      <c r="A71" s="1">
        <f t="shared" si="2"/>
        <v>69</v>
      </c>
      <c r="B71" s="2" t="s">
        <v>152</v>
      </c>
      <c r="C71" s="5" t="s">
        <v>153</v>
      </c>
      <c r="D71" s="5" t="s">
        <v>13</v>
      </c>
      <c r="E71" s="6">
        <v>113888.89</v>
      </c>
      <c r="F71" s="8">
        <v>0.13</v>
      </c>
      <c r="G71" s="4">
        <f t="shared" si="0"/>
        <v>99083.334300000002</v>
      </c>
      <c r="H71" s="3"/>
      <c r="I71" s="13" t="s">
        <v>298</v>
      </c>
    </row>
    <row r="72" spans="1:9" ht="16.5" customHeight="1" x14ac:dyDescent="0.3">
      <c r="A72" s="1">
        <f t="shared" si="2"/>
        <v>70</v>
      </c>
      <c r="B72" s="2" t="s">
        <v>154</v>
      </c>
      <c r="C72" s="5" t="s">
        <v>155</v>
      </c>
      <c r="D72" s="5" t="s">
        <v>10</v>
      </c>
      <c r="E72" s="6">
        <v>7529.41</v>
      </c>
      <c r="F72" s="8">
        <v>0.15</v>
      </c>
      <c r="G72" s="4">
        <f t="shared" si="0"/>
        <v>6399.9984999999997</v>
      </c>
      <c r="H72" s="3"/>
      <c r="I72" s="13" t="s">
        <v>298</v>
      </c>
    </row>
    <row r="73" spans="1:9" ht="16.5" customHeight="1" x14ac:dyDescent="0.3">
      <c r="A73" s="1">
        <f t="shared" si="2"/>
        <v>71</v>
      </c>
      <c r="B73" s="2" t="s">
        <v>156</v>
      </c>
      <c r="C73" s="5" t="s">
        <v>157</v>
      </c>
      <c r="D73" s="5" t="s">
        <v>10</v>
      </c>
      <c r="E73" s="6">
        <v>7529.41</v>
      </c>
      <c r="F73" s="8">
        <v>0.15</v>
      </c>
      <c r="G73" s="4">
        <f t="shared" si="0"/>
        <v>6399.9984999999997</v>
      </c>
      <c r="H73" s="3"/>
      <c r="I73" s="13" t="s">
        <v>298</v>
      </c>
    </row>
    <row r="74" spans="1:9" ht="16.5" customHeight="1" x14ac:dyDescent="0.3">
      <c r="A74" s="1">
        <f t="shared" si="2"/>
        <v>72</v>
      </c>
      <c r="B74" s="2" t="s">
        <v>158</v>
      </c>
      <c r="C74" s="5" t="s">
        <v>159</v>
      </c>
      <c r="D74" s="5" t="s">
        <v>13</v>
      </c>
      <c r="E74" s="6">
        <v>320696.82</v>
      </c>
      <c r="F74" s="8">
        <v>0.15</v>
      </c>
      <c r="G74" s="4">
        <f t="shared" si="0"/>
        <v>272592.29700000002</v>
      </c>
      <c r="H74" s="3"/>
      <c r="I74" s="13" t="s">
        <v>298</v>
      </c>
    </row>
    <row r="75" spans="1:9" ht="16.5" customHeight="1" x14ac:dyDescent="0.3">
      <c r="A75" s="1">
        <f t="shared" si="2"/>
        <v>73</v>
      </c>
      <c r="B75" s="2" t="s">
        <v>160</v>
      </c>
      <c r="C75" s="5" t="s">
        <v>161</v>
      </c>
      <c r="D75" s="5" t="s">
        <v>13</v>
      </c>
      <c r="E75" s="6">
        <v>372665.47</v>
      </c>
      <c r="F75" s="8">
        <v>0.1</v>
      </c>
      <c r="G75" s="4">
        <f t="shared" si="0"/>
        <v>335398.92299999995</v>
      </c>
      <c r="H75" s="3"/>
      <c r="I75" s="13" t="s">
        <v>298</v>
      </c>
    </row>
    <row r="76" spans="1:9" ht="16.5" customHeight="1" x14ac:dyDescent="0.3">
      <c r="A76" s="1">
        <f t="shared" si="2"/>
        <v>74</v>
      </c>
      <c r="B76" s="2" t="s">
        <v>162</v>
      </c>
      <c r="C76" s="5" t="s">
        <v>163</v>
      </c>
      <c r="D76" s="5" t="s">
        <v>8</v>
      </c>
      <c r="E76" s="6">
        <v>13453.5</v>
      </c>
      <c r="F76" s="8">
        <v>0.1</v>
      </c>
      <c r="G76" s="4">
        <f t="shared" si="0"/>
        <v>12108.15</v>
      </c>
      <c r="H76" s="3"/>
      <c r="I76" s="13" t="s">
        <v>298</v>
      </c>
    </row>
    <row r="77" spans="1:9" ht="16.5" customHeight="1" x14ac:dyDescent="0.3">
      <c r="A77" s="1">
        <f t="shared" si="2"/>
        <v>75</v>
      </c>
      <c r="B77" s="2" t="s">
        <v>164</v>
      </c>
      <c r="C77" s="5" t="s">
        <v>165</v>
      </c>
      <c r="D77" s="5" t="s">
        <v>13</v>
      </c>
      <c r="E77" s="6">
        <v>256776.78</v>
      </c>
      <c r="F77" s="8">
        <v>0.1</v>
      </c>
      <c r="G77" s="4">
        <f t="shared" si="0"/>
        <v>231099.10200000001</v>
      </c>
      <c r="H77" s="3"/>
      <c r="I77" s="13" t="s">
        <v>298</v>
      </c>
    </row>
    <row r="78" spans="1:9" ht="16.5" customHeight="1" x14ac:dyDescent="0.3">
      <c r="A78" s="1">
        <f t="shared" si="2"/>
        <v>76</v>
      </c>
      <c r="B78" s="2" t="s">
        <v>166</v>
      </c>
      <c r="C78" s="5" t="s">
        <v>167</v>
      </c>
      <c r="D78" s="5" t="s">
        <v>13</v>
      </c>
      <c r="E78" s="6">
        <v>203123.57</v>
      </c>
      <c r="F78" s="8">
        <v>0.13</v>
      </c>
      <c r="G78" s="4">
        <f t="shared" si="0"/>
        <v>176717.50589999999</v>
      </c>
      <c r="H78" s="3"/>
      <c r="I78" s="13" t="s">
        <v>298</v>
      </c>
    </row>
    <row r="79" spans="1:9" ht="16.5" customHeight="1" x14ac:dyDescent="0.3">
      <c r="A79" s="1">
        <f t="shared" si="2"/>
        <v>77</v>
      </c>
      <c r="B79" s="2" t="s">
        <v>168</v>
      </c>
      <c r="C79" s="5" t="s">
        <v>169</v>
      </c>
      <c r="D79" s="5" t="s">
        <v>13</v>
      </c>
      <c r="E79" s="6">
        <v>203123.57</v>
      </c>
      <c r="F79" s="8">
        <v>0.13</v>
      </c>
      <c r="G79" s="4">
        <f t="shared" si="0"/>
        <v>176717.50589999999</v>
      </c>
      <c r="H79" s="3"/>
      <c r="I79" s="13" t="s">
        <v>298</v>
      </c>
    </row>
    <row r="80" spans="1:9" ht="16.5" customHeight="1" x14ac:dyDescent="0.3">
      <c r="A80" s="1">
        <f t="shared" si="2"/>
        <v>78</v>
      </c>
      <c r="B80" s="2" t="s">
        <v>170</v>
      </c>
      <c r="C80" s="5" t="s">
        <v>171</v>
      </c>
      <c r="D80" s="5" t="s">
        <v>13</v>
      </c>
      <c r="E80" s="6">
        <v>203123.57</v>
      </c>
      <c r="F80" s="8">
        <v>0.13</v>
      </c>
      <c r="G80" s="4">
        <f t="shared" si="0"/>
        <v>176717.50589999999</v>
      </c>
      <c r="H80" s="3"/>
      <c r="I80" s="13" t="s">
        <v>298</v>
      </c>
    </row>
    <row r="81" spans="1:9" ht="16.5" customHeight="1" x14ac:dyDescent="0.3">
      <c r="A81" s="1">
        <f t="shared" si="2"/>
        <v>79</v>
      </c>
      <c r="B81" s="2" t="s">
        <v>172</v>
      </c>
      <c r="C81" s="5" t="s">
        <v>173</v>
      </c>
      <c r="D81" s="5" t="s">
        <v>13</v>
      </c>
      <c r="E81" s="6">
        <v>203123.57</v>
      </c>
      <c r="F81" s="8">
        <v>0.13</v>
      </c>
      <c r="G81" s="4">
        <f t="shared" si="0"/>
        <v>176717.50589999999</v>
      </c>
      <c r="H81" s="3"/>
      <c r="I81" s="13" t="s">
        <v>298</v>
      </c>
    </row>
    <row r="82" spans="1:9" ht="16.5" customHeight="1" x14ac:dyDescent="0.3">
      <c r="A82" s="1">
        <f t="shared" si="2"/>
        <v>80</v>
      </c>
      <c r="B82" s="2" t="s">
        <v>174</v>
      </c>
      <c r="C82" s="5" t="s">
        <v>175</v>
      </c>
      <c r="D82" s="5" t="s">
        <v>13</v>
      </c>
      <c r="E82" s="6">
        <v>203123.57</v>
      </c>
      <c r="F82" s="8">
        <v>0.13</v>
      </c>
      <c r="G82" s="4">
        <f t="shared" si="0"/>
        <v>176717.50589999999</v>
      </c>
      <c r="H82" s="3"/>
      <c r="I82" s="13" t="s">
        <v>298</v>
      </c>
    </row>
    <row r="83" spans="1:9" ht="16.5" customHeight="1" x14ac:dyDescent="0.3">
      <c r="A83" s="1">
        <f t="shared" si="2"/>
        <v>81</v>
      </c>
      <c r="B83" s="2" t="s">
        <v>176</v>
      </c>
      <c r="C83" s="5" t="s">
        <v>177</v>
      </c>
      <c r="D83" s="5" t="s">
        <v>8</v>
      </c>
      <c r="E83" s="6">
        <v>21573.93</v>
      </c>
      <c r="F83" s="8">
        <v>0.15</v>
      </c>
      <c r="G83" s="4">
        <f t="shared" si="0"/>
        <v>18337.840499999998</v>
      </c>
      <c r="H83" s="3"/>
      <c r="I83" s="13" t="s">
        <v>298</v>
      </c>
    </row>
    <row r="84" spans="1:9" ht="16.5" customHeight="1" x14ac:dyDescent="0.3">
      <c r="A84" s="1">
        <f t="shared" si="2"/>
        <v>82</v>
      </c>
      <c r="B84" s="2" t="s">
        <v>178</v>
      </c>
      <c r="C84" s="5" t="s">
        <v>179</v>
      </c>
      <c r="D84" s="5" t="s">
        <v>7</v>
      </c>
      <c r="E84" s="6">
        <v>14000</v>
      </c>
      <c r="F84" s="8">
        <v>0.15</v>
      </c>
      <c r="G84" s="4">
        <f t="shared" si="0"/>
        <v>11900</v>
      </c>
      <c r="H84" s="3"/>
      <c r="I84" s="13" t="s">
        <v>298</v>
      </c>
    </row>
    <row r="85" spans="1:9" ht="16.5" customHeight="1" x14ac:dyDescent="0.3">
      <c r="A85" s="1">
        <f t="shared" si="2"/>
        <v>83</v>
      </c>
      <c r="B85" s="2" t="s">
        <v>180</v>
      </c>
      <c r="C85" s="5" t="s">
        <v>181</v>
      </c>
      <c r="D85" s="5" t="s">
        <v>7</v>
      </c>
      <c r="E85" s="6">
        <v>18500.509999999998</v>
      </c>
      <c r="F85" s="8">
        <v>0.15</v>
      </c>
      <c r="G85" s="4">
        <f t="shared" si="0"/>
        <v>15725.433499999999</v>
      </c>
      <c r="H85" s="3"/>
      <c r="I85" s="13" t="s">
        <v>298</v>
      </c>
    </row>
    <row r="86" spans="1:9" ht="16.5" customHeight="1" x14ac:dyDescent="0.3">
      <c r="A86" s="1">
        <f t="shared" si="2"/>
        <v>84</v>
      </c>
      <c r="B86" s="2" t="s">
        <v>182</v>
      </c>
      <c r="C86" s="5" t="s">
        <v>183</v>
      </c>
      <c r="D86" s="5" t="s">
        <v>7</v>
      </c>
      <c r="E86" s="6">
        <v>18500.509999999998</v>
      </c>
      <c r="F86" s="8">
        <v>0.15</v>
      </c>
      <c r="G86" s="4">
        <f t="shared" si="0"/>
        <v>15725.433499999999</v>
      </c>
      <c r="H86" s="3"/>
      <c r="I86" s="13" t="s">
        <v>298</v>
      </c>
    </row>
    <row r="87" spans="1:9" ht="16.5" customHeight="1" x14ac:dyDescent="0.3">
      <c r="A87" s="1">
        <f t="shared" si="2"/>
        <v>85</v>
      </c>
      <c r="B87" s="2" t="s">
        <v>184</v>
      </c>
      <c r="C87" s="5" t="s">
        <v>185</v>
      </c>
      <c r="D87" s="5" t="s">
        <v>9</v>
      </c>
      <c r="E87" s="6">
        <v>20136.88</v>
      </c>
      <c r="F87" s="8">
        <v>0.15</v>
      </c>
      <c r="G87" s="4">
        <f t="shared" si="0"/>
        <v>17116.348000000002</v>
      </c>
      <c r="H87" s="3"/>
      <c r="I87" s="13" t="s">
        <v>298</v>
      </c>
    </row>
    <row r="88" spans="1:9" ht="16.5" customHeight="1" x14ac:dyDescent="0.3">
      <c r="A88" s="1">
        <f t="shared" si="2"/>
        <v>86</v>
      </c>
      <c r="B88" s="2" t="s">
        <v>186</v>
      </c>
      <c r="C88" s="5" t="s">
        <v>187</v>
      </c>
      <c r="D88" s="5" t="s">
        <v>7</v>
      </c>
      <c r="E88" s="6">
        <v>37647.06</v>
      </c>
      <c r="F88" s="8">
        <v>0.15</v>
      </c>
      <c r="G88" s="4">
        <f t="shared" si="0"/>
        <v>32000.000999999997</v>
      </c>
      <c r="H88" s="3"/>
      <c r="I88" s="13" t="s">
        <v>298</v>
      </c>
    </row>
    <row r="89" spans="1:9" ht="16.5" customHeight="1" x14ac:dyDescent="0.3">
      <c r="A89" s="1">
        <f t="shared" si="2"/>
        <v>87</v>
      </c>
      <c r="B89" s="2" t="s">
        <v>188</v>
      </c>
      <c r="C89" s="5" t="s">
        <v>189</v>
      </c>
      <c r="D89" s="5" t="s">
        <v>13</v>
      </c>
      <c r="E89" s="6">
        <v>128235.29</v>
      </c>
      <c r="F89" s="8">
        <v>0.15</v>
      </c>
      <c r="G89" s="4">
        <f t="shared" si="0"/>
        <v>108999.99649999999</v>
      </c>
      <c r="H89" s="3"/>
      <c r="I89" s="13" t="s">
        <v>298</v>
      </c>
    </row>
    <row r="90" spans="1:9" s="22" customFormat="1" ht="16.5" customHeight="1" x14ac:dyDescent="0.3">
      <c r="A90" s="14">
        <f t="shared" si="2"/>
        <v>88</v>
      </c>
      <c r="B90" s="15" t="s">
        <v>190</v>
      </c>
      <c r="C90" s="23" t="s">
        <v>191</v>
      </c>
      <c r="D90" s="16" t="s">
        <v>10</v>
      </c>
      <c r="E90" s="17">
        <v>102119.88</v>
      </c>
      <c r="F90" s="18">
        <v>0.15</v>
      </c>
      <c r="G90" s="19">
        <f t="shared" si="0"/>
        <v>86801.898000000001</v>
      </c>
      <c r="H90" s="20" t="s">
        <v>295</v>
      </c>
      <c r="I90" s="21"/>
    </row>
    <row r="91" spans="1:9" ht="16.5" customHeight="1" x14ac:dyDescent="0.3">
      <c r="A91" s="1">
        <f t="shared" si="2"/>
        <v>89</v>
      </c>
      <c r="B91" s="2" t="s">
        <v>192</v>
      </c>
      <c r="C91" s="5" t="s">
        <v>193</v>
      </c>
      <c r="D91" s="5" t="s">
        <v>9</v>
      </c>
      <c r="E91" s="6">
        <v>30711.99</v>
      </c>
      <c r="F91" s="8">
        <v>0.2</v>
      </c>
      <c r="G91" s="4">
        <f t="shared" si="0"/>
        <v>24569.592000000001</v>
      </c>
      <c r="H91" s="3"/>
      <c r="I91" s="13" t="s">
        <v>298</v>
      </c>
    </row>
    <row r="92" spans="1:9" ht="16.5" customHeight="1" x14ac:dyDescent="0.3">
      <c r="A92" s="1">
        <f t="shared" si="2"/>
        <v>90</v>
      </c>
      <c r="B92" s="2" t="s">
        <v>194</v>
      </c>
      <c r="C92" s="5" t="s">
        <v>195</v>
      </c>
      <c r="D92" s="5" t="s">
        <v>9</v>
      </c>
      <c r="E92" s="6">
        <v>80720.72</v>
      </c>
      <c r="F92" s="8">
        <v>0.2</v>
      </c>
      <c r="G92" s="4">
        <f t="shared" si="0"/>
        <v>64576.576000000001</v>
      </c>
      <c r="H92" s="3"/>
      <c r="I92" s="13" t="s">
        <v>298</v>
      </c>
    </row>
    <row r="93" spans="1:9" ht="16.5" customHeight="1" x14ac:dyDescent="0.3">
      <c r="A93" s="1">
        <f t="shared" si="2"/>
        <v>91</v>
      </c>
      <c r="B93" s="2" t="s">
        <v>196</v>
      </c>
      <c r="C93" s="5" t="s">
        <v>197</v>
      </c>
      <c r="D93" s="5" t="s">
        <v>7</v>
      </c>
      <c r="E93" s="6">
        <v>22826.46</v>
      </c>
      <c r="F93" s="8">
        <v>0.2</v>
      </c>
      <c r="G93" s="4">
        <f t="shared" si="0"/>
        <v>18261.167999999998</v>
      </c>
      <c r="H93" s="3"/>
      <c r="I93" s="13" t="s">
        <v>298</v>
      </c>
    </row>
    <row r="94" spans="1:9" ht="16.5" customHeight="1" x14ac:dyDescent="0.3">
      <c r="A94" s="1">
        <f t="shared" si="2"/>
        <v>92</v>
      </c>
      <c r="B94" s="2" t="s">
        <v>198</v>
      </c>
      <c r="C94" s="5" t="s">
        <v>199</v>
      </c>
      <c r="D94" s="5" t="s">
        <v>13</v>
      </c>
      <c r="E94" s="6">
        <v>198198.21</v>
      </c>
      <c r="F94" s="8">
        <v>0.15</v>
      </c>
      <c r="G94" s="4">
        <f t="shared" si="0"/>
        <v>168468.4785</v>
      </c>
      <c r="H94" s="3"/>
      <c r="I94" s="13" t="s">
        <v>298</v>
      </c>
    </row>
    <row r="95" spans="1:9" s="22" customFormat="1" ht="16.5" customHeight="1" x14ac:dyDescent="0.3">
      <c r="A95" s="14">
        <f t="shared" si="2"/>
        <v>93</v>
      </c>
      <c r="B95" s="15" t="s">
        <v>200</v>
      </c>
      <c r="C95" s="16" t="s">
        <v>201</v>
      </c>
      <c r="D95" s="16" t="s">
        <v>10</v>
      </c>
      <c r="E95" s="17">
        <v>21547.439999999999</v>
      </c>
      <c r="F95" s="18">
        <v>0.15</v>
      </c>
      <c r="G95" s="19">
        <f t="shared" si="0"/>
        <v>18315.324000000001</v>
      </c>
      <c r="H95" s="20"/>
      <c r="I95" s="21"/>
    </row>
    <row r="96" spans="1:9" s="22" customFormat="1" ht="16.5" customHeight="1" x14ac:dyDescent="0.3">
      <c r="A96" s="14">
        <f t="shared" si="2"/>
        <v>94</v>
      </c>
      <c r="B96" s="15" t="s">
        <v>202</v>
      </c>
      <c r="C96" s="16" t="s">
        <v>203</v>
      </c>
      <c r="D96" s="16" t="s">
        <v>10</v>
      </c>
      <c r="E96" s="17">
        <v>13274.21</v>
      </c>
      <c r="F96" s="18">
        <v>0.2</v>
      </c>
      <c r="G96" s="19">
        <f t="shared" si="0"/>
        <v>10619.367999999999</v>
      </c>
      <c r="H96" s="20"/>
      <c r="I96" s="21"/>
    </row>
    <row r="97" spans="1:9" s="22" customFormat="1" ht="16.5" customHeight="1" x14ac:dyDescent="0.3">
      <c r="A97" s="14">
        <f t="shared" si="2"/>
        <v>95</v>
      </c>
      <c r="B97" s="15" t="s">
        <v>204</v>
      </c>
      <c r="C97" s="16" t="s">
        <v>205</v>
      </c>
      <c r="D97" s="16" t="s">
        <v>10</v>
      </c>
      <c r="E97" s="17">
        <v>13281.41</v>
      </c>
      <c r="F97" s="18">
        <v>0.2</v>
      </c>
      <c r="G97" s="19">
        <f t="shared" si="0"/>
        <v>10625.128000000001</v>
      </c>
      <c r="H97" s="20"/>
      <c r="I97" s="21"/>
    </row>
    <row r="98" spans="1:9" s="22" customFormat="1" ht="16.5" customHeight="1" x14ac:dyDescent="0.3">
      <c r="A98" s="14">
        <f t="shared" si="2"/>
        <v>96</v>
      </c>
      <c r="B98" s="15" t="s">
        <v>206</v>
      </c>
      <c r="C98" s="16" t="s">
        <v>207</v>
      </c>
      <c r="D98" s="16" t="s">
        <v>7</v>
      </c>
      <c r="E98" s="17">
        <v>15738.74</v>
      </c>
      <c r="F98" s="18">
        <v>0.15</v>
      </c>
      <c r="G98" s="19">
        <f t="shared" si="0"/>
        <v>13377.929</v>
      </c>
      <c r="H98" s="20"/>
      <c r="I98" s="21"/>
    </row>
    <row r="99" spans="1:9" s="22" customFormat="1" ht="16.5" customHeight="1" x14ac:dyDescent="0.3">
      <c r="A99" s="14">
        <f t="shared" si="2"/>
        <v>97</v>
      </c>
      <c r="B99" s="15" t="s">
        <v>208</v>
      </c>
      <c r="C99" s="16" t="s">
        <v>209</v>
      </c>
      <c r="D99" s="16" t="s">
        <v>7</v>
      </c>
      <c r="E99" s="17">
        <v>49819.83</v>
      </c>
      <c r="F99" s="18">
        <v>0.2</v>
      </c>
      <c r="G99" s="19">
        <f t="shared" si="0"/>
        <v>39855.864000000001</v>
      </c>
      <c r="H99" s="20"/>
      <c r="I99" s="21"/>
    </row>
    <row r="100" spans="1:9" s="22" customFormat="1" ht="16.5" customHeight="1" x14ac:dyDescent="0.3">
      <c r="A100" s="14">
        <f t="shared" si="2"/>
        <v>98</v>
      </c>
      <c r="B100" s="15" t="s">
        <v>210</v>
      </c>
      <c r="C100" s="16" t="s">
        <v>211</v>
      </c>
      <c r="D100" s="16" t="s">
        <v>7</v>
      </c>
      <c r="E100" s="17">
        <v>43891.89</v>
      </c>
      <c r="F100" s="18">
        <v>0.2</v>
      </c>
      <c r="G100" s="19">
        <f t="shared" si="0"/>
        <v>35113.512000000002</v>
      </c>
      <c r="H100" s="20"/>
      <c r="I100" s="21"/>
    </row>
    <row r="101" spans="1:9" s="22" customFormat="1" ht="16.5" customHeight="1" x14ac:dyDescent="0.3">
      <c r="A101" s="14">
        <f t="shared" si="2"/>
        <v>99</v>
      </c>
      <c r="B101" s="15" t="s">
        <v>212</v>
      </c>
      <c r="C101" s="23" t="s">
        <v>213</v>
      </c>
      <c r="D101" s="16" t="s">
        <v>51</v>
      </c>
      <c r="E101" s="17">
        <v>85850.559999999998</v>
      </c>
      <c r="F101" s="18">
        <v>0.15</v>
      </c>
      <c r="G101" s="19">
        <f t="shared" si="0"/>
        <v>72972.975999999995</v>
      </c>
      <c r="H101" s="20" t="s">
        <v>295</v>
      </c>
      <c r="I101" s="21"/>
    </row>
    <row r="102" spans="1:9" ht="16.5" customHeight="1" x14ac:dyDescent="0.3">
      <c r="A102" s="1">
        <f t="shared" si="2"/>
        <v>100</v>
      </c>
      <c r="B102" s="2" t="s">
        <v>214</v>
      </c>
      <c r="C102" s="5" t="s">
        <v>215</v>
      </c>
      <c r="D102" s="5" t="s">
        <v>8</v>
      </c>
      <c r="E102" s="6">
        <v>20684.689999999999</v>
      </c>
      <c r="F102" s="8">
        <v>0.2</v>
      </c>
      <c r="G102" s="4">
        <f t="shared" si="0"/>
        <v>16547.752</v>
      </c>
      <c r="H102" s="3"/>
      <c r="I102" s="13" t="s">
        <v>298</v>
      </c>
    </row>
    <row r="103" spans="1:9" s="22" customFormat="1" ht="16.5" customHeight="1" x14ac:dyDescent="0.3">
      <c r="A103" s="14">
        <f t="shared" si="2"/>
        <v>101</v>
      </c>
      <c r="B103" s="15" t="s">
        <v>216</v>
      </c>
      <c r="C103" s="16" t="s">
        <v>217</v>
      </c>
      <c r="D103" s="16" t="s">
        <v>8</v>
      </c>
      <c r="E103" s="17">
        <v>40625</v>
      </c>
      <c r="F103" s="18">
        <v>0.2</v>
      </c>
      <c r="G103" s="19">
        <f t="shared" si="0"/>
        <v>32500</v>
      </c>
      <c r="H103" s="20"/>
      <c r="I103" s="21"/>
    </row>
    <row r="104" spans="1:9" s="22" customFormat="1" ht="16.5" customHeight="1" x14ac:dyDescent="0.3">
      <c r="A104" s="14">
        <f t="shared" si="2"/>
        <v>102</v>
      </c>
      <c r="B104" s="15" t="s">
        <v>218</v>
      </c>
      <c r="C104" s="16" t="s">
        <v>219</v>
      </c>
      <c r="D104" s="16" t="s">
        <v>8</v>
      </c>
      <c r="E104" s="17">
        <v>64750</v>
      </c>
      <c r="F104" s="18">
        <v>0.2</v>
      </c>
      <c r="G104" s="19">
        <f t="shared" si="0"/>
        <v>51800</v>
      </c>
      <c r="H104" s="20"/>
      <c r="I104" s="21"/>
    </row>
    <row r="105" spans="1:9" ht="16.5" customHeight="1" x14ac:dyDescent="0.3">
      <c r="A105" s="1">
        <f t="shared" si="2"/>
        <v>103</v>
      </c>
      <c r="B105" s="2" t="s">
        <v>220</v>
      </c>
      <c r="C105" s="5" t="s">
        <v>221</v>
      </c>
      <c r="D105" s="5" t="s">
        <v>7</v>
      </c>
      <c r="E105" s="6">
        <v>17094.599999999999</v>
      </c>
      <c r="F105" s="8">
        <v>0.2</v>
      </c>
      <c r="G105" s="4">
        <f t="shared" si="0"/>
        <v>13675.679999999998</v>
      </c>
      <c r="H105" s="3"/>
      <c r="I105" s="13" t="s">
        <v>298</v>
      </c>
    </row>
    <row r="106" spans="1:9" ht="16.5" customHeight="1" x14ac:dyDescent="0.3">
      <c r="A106" s="1">
        <f t="shared" si="2"/>
        <v>104</v>
      </c>
      <c r="B106" s="2" t="s">
        <v>222</v>
      </c>
      <c r="C106" s="5" t="s">
        <v>223</v>
      </c>
      <c r="D106" s="5" t="s">
        <v>7</v>
      </c>
      <c r="E106" s="6">
        <v>22297.3</v>
      </c>
      <c r="F106" s="8">
        <v>0.2</v>
      </c>
      <c r="G106" s="4">
        <f t="shared" si="0"/>
        <v>17837.84</v>
      </c>
      <c r="H106" s="3"/>
      <c r="I106" s="13" t="s">
        <v>298</v>
      </c>
    </row>
    <row r="107" spans="1:9" s="22" customFormat="1" ht="16.5" customHeight="1" x14ac:dyDescent="0.3">
      <c r="A107" s="14">
        <f t="shared" si="2"/>
        <v>105</v>
      </c>
      <c r="B107" s="15" t="s">
        <v>224</v>
      </c>
      <c r="C107" s="16" t="s">
        <v>225</v>
      </c>
      <c r="D107" s="16" t="s">
        <v>7</v>
      </c>
      <c r="E107" s="17">
        <v>23223.23</v>
      </c>
      <c r="F107" s="18">
        <v>0.2</v>
      </c>
      <c r="G107" s="19">
        <f t="shared" si="0"/>
        <v>18578.583999999999</v>
      </c>
      <c r="H107" s="20"/>
      <c r="I107" s="21"/>
    </row>
    <row r="108" spans="1:9" ht="16.5" customHeight="1" x14ac:dyDescent="0.3">
      <c r="A108" s="1">
        <f t="shared" si="2"/>
        <v>106</v>
      </c>
      <c r="B108" s="2" t="s">
        <v>226</v>
      </c>
      <c r="C108" s="12" t="s">
        <v>227</v>
      </c>
      <c r="D108" s="5" t="s">
        <v>7</v>
      </c>
      <c r="E108" s="6">
        <v>23000</v>
      </c>
      <c r="F108" s="8">
        <v>0.15</v>
      </c>
      <c r="G108" s="4">
        <f t="shared" si="0"/>
        <v>19550</v>
      </c>
      <c r="H108" s="3" t="s">
        <v>295</v>
      </c>
      <c r="I108" s="13" t="s">
        <v>298</v>
      </c>
    </row>
    <row r="109" spans="1:9" ht="16.5" customHeight="1" x14ac:dyDescent="0.3">
      <c r="A109" s="1">
        <f t="shared" si="2"/>
        <v>107</v>
      </c>
      <c r="B109" s="2" t="s">
        <v>228</v>
      </c>
      <c r="C109" s="5" t="s">
        <v>229</v>
      </c>
      <c r="D109" s="5" t="s">
        <v>13</v>
      </c>
      <c r="E109" s="6">
        <v>141891.89000000001</v>
      </c>
      <c r="F109" s="8">
        <v>0.1507</v>
      </c>
      <c r="G109" s="4">
        <f t="shared" si="0"/>
        <v>120508.78217700002</v>
      </c>
      <c r="H109" s="3"/>
      <c r="I109" s="13" t="s">
        <v>298</v>
      </c>
    </row>
    <row r="110" spans="1:9" ht="16.5" customHeight="1" x14ac:dyDescent="0.3">
      <c r="A110" s="1">
        <f t="shared" si="2"/>
        <v>108</v>
      </c>
      <c r="B110" s="2" t="s">
        <v>230</v>
      </c>
      <c r="C110" s="5" t="s">
        <v>231</v>
      </c>
      <c r="D110" s="5" t="s">
        <v>7</v>
      </c>
      <c r="E110" s="6">
        <v>8727.61</v>
      </c>
      <c r="F110" s="8">
        <v>0.12</v>
      </c>
      <c r="G110" s="4">
        <f t="shared" si="0"/>
        <v>7680.2968000000001</v>
      </c>
      <c r="H110" s="3"/>
      <c r="I110" s="13" t="s">
        <v>298</v>
      </c>
    </row>
    <row r="111" spans="1:9" ht="16.5" customHeight="1" x14ac:dyDescent="0.3">
      <c r="A111" s="1">
        <f t="shared" si="2"/>
        <v>109</v>
      </c>
      <c r="B111" s="2" t="s">
        <v>232</v>
      </c>
      <c r="C111" s="5" t="s">
        <v>233</v>
      </c>
      <c r="D111" s="5" t="s">
        <v>7</v>
      </c>
      <c r="E111" s="6">
        <v>38333.339999999997</v>
      </c>
      <c r="F111" s="8">
        <v>0.2</v>
      </c>
      <c r="G111" s="4">
        <f t="shared" si="0"/>
        <v>30666.671999999999</v>
      </c>
      <c r="H111" s="3"/>
      <c r="I111" s="13" t="s">
        <v>298</v>
      </c>
    </row>
    <row r="112" spans="1:9" ht="16.5" customHeight="1" x14ac:dyDescent="0.3">
      <c r="A112" s="1">
        <f t="shared" si="2"/>
        <v>110</v>
      </c>
      <c r="B112" s="2" t="s">
        <v>234</v>
      </c>
      <c r="C112" s="5" t="s">
        <v>235</v>
      </c>
      <c r="D112" s="5" t="s">
        <v>10</v>
      </c>
      <c r="E112" s="6">
        <v>6351.36</v>
      </c>
      <c r="F112" s="8">
        <v>0.2</v>
      </c>
      <c r="G112" s="4">
        <f t="shared" si="0"/>
        <v>5081.0879999999997</v>
      </c>
      <c r="H112" s="3"/>
      <c r="I112" s="13" t="s">
        <v>298</v>
      </c>
    </row>
    <row r="113" spans="1:9" ht="16.5" customHeight="1" x14ac:dyDescent="0.3">
      <c r="A113" s="1">
        <f t="shared" si="2"/>
        <v>111</v>
      </c>
      <c r="B113" s="2" t="s">
        <v>236</v>
      </c>
      <c r="C113" s="5" t="s">
        <v>237</v>
      </c>
      <c r="D113" s="5" t="s">
        <v>7</v>
      </c>
      <c r="E113" s="6">
        <v>25382.89</v>
      </c>
      <c r="F113" s="8">
        <v>0.2</v>
      </c>
      <c r="G113" s="4">
        <f t="shared" si="0"/>
        <v>20306.311999999998</v>
      </c>
      <c r="H113" s="3"/>
      <c r="I113" s="13" t="s">
        <v>298</v>
      </c>
    </row>
    <row r="114" spans="1:9" ht="16.5" customHeight="1" x14ac:dyDescent="0.3">
      <c r="A114" s="1">
        <f t="shared" si="2"/>
        <v>112</v>
      </c>
      <c r="B114" s="2" t="s">
        <v>238</v>
      </c>
      <c r="C114" s="5" t="s">
        <v>239</v>
      </c>
      <c r="D114" s="5" t="s">
        <v>7</v>
      </c>
      <c r="E114" s="6">
        <v>22396.400000000001</v>
      </c>
      <c r="F114" s="8">
        <v>0.2</v>
      </c>
      <c r="G114" s="4">
        <f t="shared" si="0"/>
        <v>17917.120000000003</v>
      </c>
      <c r="H114" s="3"/>
      <c r="I114" s="13" t="s">
        <v>298</v>
      </c>
    </row>
    <row r="115" spans="1:9" ht="16.5" customHeight="1" x14ac:dyDescent="0.3">
      <c r="A115" s="1">
        <f t="shared" si="2"/>
        <v>113</v>
      </c>
      <c r="B115" s="2" t="s">
        <v>240</v>
      </c>
      <c r="C115" s="5" t="s">
        <v>241</v>
      </c>
      <c r="D115" s="5" t="s">
        <v>7</v>
      </c>
      <c r="E115" s="6">
        <v>22396.400000000001</v>
      </c>
      <c r="F115" s="8">
        <v>0.2</v>
      </c>
      <c r="G115" s="4">
        <f t="shared" si="0"/>
        <v>17917.120000000003</v>
      </c>
      <c r="H115" s="3"/>
      <c r="I115" s="13" t="s">
        <v>298</v>
      </c>
    </row>
    <row r="116" spans="1:9" ht="16.5" customHeight="1" x14ac:dyDescent="0.3">
      <c r="A116" s="1">
        <f t="shared" si="2"/>
        <v>114</v>
      </c>
      <c r="B116" s="2" t="s">
        <v>242</v>
      </c>
      <c r="C116" s="5" t="s">
        <v>243</v>
      </c>
      <c r="D116" s="5" t="s">
        <v>7</v>
      </c>
      <c r="E116" s="6">
        <v>22396.400000000001</v>
      </c>
      <c r="F116" s="8">
        <v>0.2</v>
      </c>
      <c r="G116" s="4">
        <f t="shared" si="0"/>
        <v>17917.120000000003</v>
      </c>
      <c r="H116" s="3"/>
      <c r="I116" s="13" t="s">
        <v>298</v>
      </c>
    </row>
    <row r="117" spans="1:9" ht="16.5" customHeight="1" x14ac:dyDescent="0.3">
      <c r="A117" s="1">
        <f t="shared" si="2"/>
        <v>115</v>
      </c>
      <c r="B117" s="2" t="s">
        <v>244</v>
      </c>
      <c r="C117" s="5" t="s">
        <v>245</v>
      </c>
      <c r="D117" s="5" t="s">
        <v>7</v>
      </c>
      <c r="E117" s="6">
        <v>22396.400000000001</v>
      </c>
      <c r="F117" s="8">
        <v>0.2</v>
      </c>
      <c r="G117" s="4">
        <f t="shared" si="0"/>
        <v>17917.120000000003</v>
      </c>
      <c r="H117" s="3"/>
      <c r="I117" s="13" t="s">
        <v>298</v>
      </c>
    </row>
    <row r="118" spans="1:9" ht="16.5" customHeight="1" x14ac:dyDescent="0.3">
      <c r="A118" s="1">
        <f t="shared" si="2"/>
        <v>116</v>
      </c>
      <c r="B118" s="2" t="s">
        <v>246</v>
      </c>
      <c r="C118" s="5" t="s">
        <v>247</v>
      </c>
      <c r="D118" s="5" t="s">
        <v>7</v>
      </c>
      <c r="E118" s="6">
        <v>53918.59</v>
      </c>
      <c r="F118" s="8">
        <v>0.15</v>
      </c>
      <c r="G118" s="4">
        <f t="shared" si="0"/>
        <v>45830.801500000001</v>
      </c>
      <c r="H118" s="7" t="s">
        <v>293</v>
      </c>
      <c r="I118" s="13" t="s">
        <v>298</v>
      </c>
    </row>
    <row r="119" spans="1:9" ht="16.5" customHeight="1" x14ac:dyDescent="0.3">
      <c r="A119" s="1">
        <f t="shared" si="2"/>
        <v>117</v>
      </c>
      <c r="B119" s="2" t="s">
        <v>248</v>
      </c>
      <c r="C119" s="5" t="s">
        <v>249</v>
      </c>
      <c r="D119" s="5" t="s">
        <v>7</v>
      </c>
      <c r="E119" s="6">
        <v>65318.27</v>
      </c>
      <c r="F119" s="8">
        <v>0.15</v>
      </c>
      <c r="G119" s="4">
        <f t="shared" si="0"/>
        <v>55520.529499999997</v>
      </c>
      <c r="H119" s="7" t="s">
        <v>293</v>
      </c>
      <c r="I119" s="13" t="s">
        <v>298</v>
      </c>
    </row>
    <row r="120" spans="1:9" ht="16.5" customHeight="1" x14ac:dyDescent="0.3">
      <c r="A120" s="1">
        <f t="shared" si="2"/>
        <v>118</v>
      </c>
      <c r="B120" s="2" t="s">
        <v>250</v>
      </c>
      <c r="C120" s="5" t="s">
        <v>251</v>
      </c>
      <c r="D120" s="5" t="s">
        <v>7</v>
      </c>
      <c r="E120" s="6">
        <v>109203.39</v>
      </c>
      <c r="F120" s="8">
        <v>0.15</v>
      </c>
      <c r="G120" s="4">
        <f t="shared" si="0"/>
        <v>92822.881500000003</v>
      </c>
      <c r="H120" s="7" t="s">
        <v>293</v>
      </c>
      <c r="I120" s="13" t="s">
        <v>298</v>
      </c>
    </row>
    <row r="121" spans="1:9" ht="16.5" customHeight="1" x14ac:dyDescent="0.3">
      <c r="A121" s="1">
        <f t="shared" si="2"/>
        <v>119</v>
      </c>
      <c r="B121" s="2" t="s">
        <v>252</v>
      </c>
      <c r="C121" s="5" t="s">
        <v>253</v>
      </c>
      <c r="D121" s="5" t="s">
        <v>7</v>
      </c>
      <c r="E121" s="6">
        <v>49485.4</v>
      </c>
      <c r="F121" s="8">
        <v>0.15</v>
      </c>
      <c r="G121" s="4">
        <f t="shared" si="0"/>
        <v>42062.590000000004</v>
      </c>
      <c r="H121" s="7" t="s">
        <v>293</v>
      </c>
      <c r="I121" s="13" t="s">
        <v>298</v>
      </c>
    </row>
    <row r="122" spans="1:9" ht="16.5" customHeight="1" x14ac:dyDescent="0.3">
      <c r="A122" s="1">
        <f t="shared" si="2"/>
        <v>120</v>
      </c>
      <c r="B122" s="2" t="s">
        <v>254</v>
      </c>
      <c r="C122" s="5" t="s">
        <v>255</v>
      </c>
      <c r="D122" s="5" t="s">
        <v>7</v>
      </c>
      <c r="E122" s="6">
        <v>21773.98</v>
      </c>
      <c r="F122" s="8">
        <v>0.15</v>
      </c>
      <c r="G122" s="4">
        <f t="shared" si="0"/>
        <v>18507.883000000002</v>
      </c>
      <c r="H122" s="7" t="s">
        <v>293</v>
      </c>
      <c r="I122" s="13" t="s">
        <v>298</v>
      </c>
    </row>
    <row r="123" spans="1:9" ht="16.5" customHeight="1" x14ac:dyDescent="0.3">
      <c r="A123" s="1">
        <f t="shared" si="2"/>
        <v>121</v>
      </c>
      <c r="B123" s="2" t="s">
        <v>256</v>
      </c>
      <c r="C123" s="5" t="s">
        <v>257</v>
      </c>
      <c r="D123" s="5" t="s">
        <v>7</v>
      </c>
      <c r="E123" s="6">
        <v>6040.88</v>
      </c>
      <c r="F123" s="8">
        <v>0.15</v>
      </c>
      <c r="G123" s="4">
        <f t="shared" si="0"/>
        <v>5134.7480000000005</v>
      </c>
      <c r="H123" s="7" t="s">
        <v>293</v>
      </c>
      <c r="I123" s="13" t="s">
        <v>298</v>
      </c>
    </row>
    <row r="124" spans="1:9" ht="16.5" customHeight="1" x14ac:dyDescent="0.3">
      <c r="A124" s="1">
        <f t="shared" si="2"/>
        <v>122</v>
      </c>
      <c r="B124" s="2" t="s">
        <v>258</v>
      </c>
      <c r="C124" s="5" t="s">
        <v>259</v>
      </c>
      <c r="D124" s="5" t="s">
        <v>7</v>
      </c>
      <c r="E124" s="6">
        <v>21829.01</v>
      </c>
      <c r="F124" s="8">
        <v>0.15</v>
      </c>
      <c r="G124" s="4">
        <f t="shared" si="0"/>
        <v>18554.658499999998</v>
      </c>
      <c r="H124" s="7" t="s">
        <v>293</v>
      </c>
      <c r="I124" s="13" t="s">
        <v>298</v>
      </c>
    </row>
    <row r="125" spans="1:9" ht="16.5" customHeight="1" x14ac:dyDescent="0.3">
      <c r="A125" s="1">
        <f t="shared" si="2"/>
        <v>123</v>
      </c>
      <c r="B125" s="2" t="s">
        <v>260</v>
      </c>
      <c r="C125" s="5" t="s">
        <v>261</v>
      </c>
      <c r="D125" s="5" t="s">
        <v>7</v>
      </c>
      <c r="E125" s="6">
        <v>20137.78</v>
      </c>
      <c r="F125" s="8">
        <v>0.15</v>
      </c>
      <c r="G125" s="4">
        <f t="shared" si="0"/>
        <v>17117.112999999998</v>
      </c>
      <c r="H125" s="7" t="s">
        <v>293</v>
      </c>
      <c r="I125" s="13" t="s">
        <v>298</v>
      </c>
    </row>
    <row r="126" spans="1:9" ht="16.5" customHeight="1" x14ac:dyDescent="0.3">
      <c r="A126" s="1">
        <f t="shared" si="2"/>
        <v>124</v>
      </c>
      <c r="B126" s="2" t="s">
        <v>262</v>
      </c>
      <c r="C126" s="5" t="s">
        <v>263</v>
      </c>
      <c r="D126" s="5" t="s">
        <v>7</v>
      </c>
      <c r="E126" s="6">
        <v>13894.48</v>
      </c>
      <c r="F126" s="8">
        <v>0.15</v>
      </c>
      <c r="G126" s="4">
        <f t="shared" si="0"/>
        <v>11810.307999999999</v>
      </c>
      <c r="H126" s="7" t="s">
        <v>293</v>
      </c>
      <c r="I126" s="13" t="s">
        <v>298</v>
      </c>
    </row>
    <row r="127" spans="1:9" ht="16.5" customHeight="1" x14ac:dyDescent="0.3">
      <c r="A127" s="1">
        <f t="shared" si="2"/>
        <v>125</v>
      </c>
      <c r="B127" s="2" t="s">
        <v>264</v>
      </c>
      <c r="C127" s="5" t="s">
        <v>265</v>
      </c>
      <c r="D127" s="5" t="s">
        <v>7</v>
      </c>
      <c r="E127" s="6">
        <v>14393.22</v>
      </c>
      <c r="F127" s="8">
        <v>0.15</v>
      </c>
      <c r="G127" s="4">
        <f t="shared" si="0"/>
        <v>12234.236999999999</v>
      </c>
      <c r="H127" s="7" t="s">
        <v>293</v>
      </c>
      <c r="I127" s="13" t="s">
        <v>298</v>
      </c>
    </row>
    <row r="128" spans="1:9" ht="16.5" customHeight="1" x14ac:dyDescent="0.3">
      <c r="A128" s="1">
        <f t="shared" si="2"/>
        <v>126</v>
      </c>
      <c r="B128" s="2" t="s">
        <v>266</v>
      </c>
      <c r="C128" s="5" t="s">
        <v>267</v>
      </c>
      <c r="D128" s="5" t="s">
        <v>7</v>
      </c>
      <c r="E128" s="6">
        <v>18894.78</v>
      </c>
      <c r="F128" s="8">
        <v>0.15</v>
      </c>
      <c r="G128" s="4">
        <f t="shared" si="0"/>
        <v>16060.562999999998</v>
      </c>
      <c r="H128" s="7" t="s">
        <v>293</v>
      </c>
      <c r="I128" s="13" t="s">
        <v>298</v>
      </c>
    </row>
    <row r="129" spans="1:9" ht="16.5" customHeight="1" x14ac:dyDescent="0.3">
      <c r="A129" s="1">
        <f t="shared" si="2"/>
        <v>127</v>
      </c>
      <c r="B129" s="2" t="s">
        <v>268</v>
      </c>
      <c r="C129" s="5" t="s">
        <v>269</v>
      </c>
      <c r="D129" s="5" t="s">
        <v>7</v>
      </c>
      <c r="E129" s="6">
        <v>3073.53</v>
      </c>
      <c r="F129" s="8">
        <v>0.15</v>
      </c>
      <c r="G129" s="4">
        <f t="shared" si="0"/>
        <v>2612.5005000000001</v>
      </c>
      <c r="H129" s="7" t="s">
        <v>293</v>
      </c>
      <c r="I129" s="13" t="s">
        <v>298</v>
      </c>
    </row>
    <row r="130" spans="1:9" ht="16.5" customHeight="1" x14ac:dyDescent="0.3">
      <c r="A130" s="1">
        <f t="shared" si="2"/>
        <v>128</v>
      </c>
      <c r="B130" s="2" t="s">
        <v>270</v>
      </c>
      <c r="C130" s="5" t="s">
        <v>271</v>
      </c>
      <c r="D130" s="5" t="s">
        <v>7</v>
      </c>
      <c r="E130" s="6">
        <v>2638.29</v>
      </c>
      <c r="F130" s="8">
        <v>0.15</v>
      </c>
      <c r="G130" s="4">
        <f t="shared" si="0"/>
        <v>2242.5464999999999</v>
      </c>
      <c r="H130" s="7" t="s">
        <v>293</v>
      </c>
      <c r="I130" s="13" t="s">
        <v>298</v>
      </c>
    </row>
    <row r="131" spans="1:9" ht="16.5" customHeight="1" x14ac:dyDescent="0.3">
      <c r="A131" s="1">
        <f t="shared" si="2"/>
        <v>129</v>
      </c>
      <c r="B131" s="2" t="s">
        <v>272</v>
      </c>
      <c r="C131" s="5" t="s">
        <v>273</v>
      </c>
      <c r="D131" s="5" t="s">
        <v>7</v>
      </c>
      <c r="E131" s="6">
        <v>40740.53</v>
      </c>
      <c r="F131" s="8">
        <v>0.15</v>
      </c>
      <c r="G131" s="4">
        <f t="shared" si="0"/>
        <v>34629.450499999999</v>
      </c>
      <c r="H131" s="7" t="s">
        <v>293</v>
      </c>
      <c r="I131" s="13" t="s">
        <v>298</v>
      </c>
    </row>
    <row r="132" spans="1:9" ht="16.5" customHeight="1" x14ac:dyDescent="0.3">
      <c r="A132" s="1">
        <f t="shared" ref="A132:A141" si="3">A131+1</f>
        <v>130</v>
      </c>
      <c r="B132" s="2" t="s">
        <v>274</v>
      </c>
      <c r="C132" s="5" t="s">
        <v>275</v>
      </c>
      <c r="D132" s="5" t="s">
        <v>7</v>
      </c>
      <c r="E132" s="6">
        <v>11725.58</v>
      </c>
      <c r="F132" s="8">
        <v>0.15</v>
      </c>
      <c r="G132" s="4">
        <f t="shared" si="0"/>
        <v>9966.7430000000004</v>
      </c>
      <c r="H132" s="7" t="s">
        <v>293</v>
      </c>
      <c r="I132" s="13" t="s">
        <v>298</v>
      </c>
    </row>
    <row r="133" spans="1:9" ht="16.5" customHeight="1" x14ac:dyDescent="0.3">
      <c r="A133" s="1">
        <f t="shared" si="3"/>
        <v>131</v>
      </c>
      <c r="B133" s="2" t="s">
        <v>276</v>
      </c>
      <c r="C133" s="5" t="s">
        <v>277</v>
      </c>
      <c r="D133" s="5" t="s">
        <v>13</v>
      </c>
      <c r="E133" s="6">
        <v>236948.24</v>
      </c>
      <c r="F133" s="8">
        <v>0.15</v>
      </c>
      <c r="G133" s="4">
        <f t="shared" si="0"/>
        <v>201406.00399999999</v>
      </c>
      <c r="H133" s="7" t="s">
        <v>293</v>
      </c>
      <c r="I133" s="13" t="s">
        <v>298</v>
      </c>
    </row>
    <row r="134" spans="1:9" ht="16.5" customHeight="1" x14ac:dyDescent="0.3">
      <c r="A134" s="1">
        <f t="shared" si="3"/>
        <v>132</v>
      </c>
      <c r="B134" s="2" t="s">
        <v>278</v>
      </c>
      <c r="C134" s="5" t="s">
        <v>279</v>
      </c>
      <c r="D134" s="5" t="s">
        <v>7</v>
      </c>
      <c r="E134" s="6">
        <v>32191.55</v>
      </c>
      <c r="F134" s="8">
        <v>0.15</v>
      </c>
      <c r="G134" s="4">
        <f t="shared" si="0"/>
        <v>27362.817499999997</v>
      </c>
      <c r="H134" s="7" t="s">
        <v>293</v>
      </c>
      <c r="I134" s="13" t="s">
        <v>298</v>
      </c>
    </row>
    <row r="135" spans="1:9" ht="16.5" customHeight="1" x14ac:dyDescent="0.3">
      <c r="A135" s="1">
        <f t="shared" si="3"/>
        <v>133</v>
      </c>
      <c r="B135" s="2" t="s">
        <v>280</v>
      </c>
      <c r="C135" s="5" t="s">
        <v>281</v>
      </c>
      <c r="D135" s="5" t="s">
        <v>7</v>
      </c>
      <c r="E135" s="6">
        <v>38241.599999999999</v>
      </c>
      <c r="F135" s="8">
        <v>0.15</v>
      </c>
      <c r="G135" s="4">
        <f t="shared" si="0"/>
        <v>32505.360000000001</v>
      </c>
      <c r="H135" s="7" t="s">
        <v>293</v>
      </c>
      <c r="I135" s="13" t="s">
        <v>298</v>
      </c>
    </row>
    <row r="136" spans="1:9" ht="16.5" customHeight="1" x14ac:dyDescent="0.3">
      <c r="A136" s="1">
        <f t="shared" si="3"/>
        <v>134</v>
      </c>
      <c r="B136" s="2" t="s">
        <v>282</v>
      </c>
      <c r="C136" s="5" t="s">
        <v>283</v>
      </c>
      <c r="D136" s="5" t="s">
        <v>7</v>
      </c>
      <c r="E136" s="6">
        <v>16428.29</v>
      </c>
      <c r="F136" s="8">
        <v>0.15</v>
      </c>
      <c r="G136" s="4">
        <f t="shared" si="0"/>
        <v>13964.0465</v>
      </c>
      <c r="H136" s="7" t="s">
        <v>293</v>
      </c>
      <c r="I136" s="13" t="s">
        <v>298</v>
      </c>
    </row>
    <row r="137" spans="1:9" ht="16.5" customHeight="1" x14ac:dyDescent="0.3">
      <c r="A137" s="1">
        <f t="shared" si="3"/>
        <v>135</v>
      </c>
      <c r="B137" s="2" t="s">
        <v>284</v>
      </c>
      <c r="C137" s="5" t="s">
        <v>285</v>
      </c>
      <c r="D137" s="5" t="s">
        <v>7</v>
      </c>
      <c r="E137" s="6">
        <v>14626.39</v>
      </c>
      <c r="F137" s="8">
        <v>0.15</v>
      </c>
      <c r="G137" s="4">
        <f t="shared" si="0"/>
        <v>12432.431499999999</v>
      </c>
      <c r="H137" s="7" t="s">
        <v>293</v>
      </c>
      <c r="I137" s="13" t="s">
        <v>298</v>
      </c>
    </row>
    <row r="138" spans="1:9" ht="16.5" customHeight="1" x14ac:dyDescent="0.3">
      <c r="A138" s="1">
        <f t="shared" si="3"/>
        <v>136</v>
      </c>
      <c r="B138" s="2" t="s">
        <v>286</v>
      </c>
      <c r="C138" s="5" t="s">
        <v>287</v>
      </c>
      <c r="D138" s="5" t="s">
        <v>7</v>
      </c>
      <c r="E138" s="6">
        <v>12066.77</v>
      </c>
      <c r="F138" s="8">
        <v>0.15</v>
      </c>
      <c r="G138" s="4">
        <f t="shared" si="0"/>
        <v>10256.754500000001</v>
      </c>
      <c r="H138" s="7" t="s">
        <v>293</v>
      </c>
      <c r="I138" s="13" t="s">
        <v>298</v>
      </c>
    </row>
    <row r="139" spans="1:9" ht="16.5" customHeight="1" x14ac:dyDescent="0.3">
      <c r="A139" s="1">
        <f t="shared" si="3"/>
        <v>137</v>
      </c>
      <c r="B139" s="2" t="s">
        <v>288</v>
      </c>
      <c r="C139" s="5" t="s">
        <v>289</v>
      </c>
      <c r="D139" s="5" t="s">
        <v>7</v>
      </c>
      <c r="E139" s="6">
        <v>29862.22</v>
      </c>
      <c r="F139" s="8">
        <v>0.15</v>
      </c>
      <c r="G139" s="4">
        <f t="shared" si="0"/>
        <v>25382.887000000002</v>
      </c>
      <c r="H139" s="7" t="s">
        <v>293</v>
      </c>
      <c r="I139" s="13" t="s">
        <v>298</v>
      </c>
    </row>
    <row r="140" spans="1:9" ht="16.5" customHeight="1" x14ac:dyDescent="0.3">
      <c r="A140" s="1">
        <f t="shared" si="3"/>
        <v>138</v>
      </c>
      <c r="B140" s="2" t="s">
        <v>290</v>
      </c>
      <c r="C140" s="5" t="s">
        <v>291</v>
      </c>
      <c r="D140" s="5" t="s">
        <v>7</v>
      </c>
      <c r="E140" s="6">
        <v>9457.18</v>
      </c>
      <c r="F140" s="8">
        <v>0.15</v>
      </c>
      <c r="G140" s="4">
        <f t="shared" si="0"/>
        <v>8038.6030000000001</v>
      </c>
      <c r="H140" s="7" t="s">
        <v>293</v>
      </c>
      <c r="I140" s="13" t="s">
        <v>298</v>
      </c>
    </row>
    <row r="141" spans="1:9" s="22" customFormat="1" ht="16.5" customHeight="1" x14ac:dyDescent="0.3">
      <c r="A141" s="14">
        <f t="shared" si="3"/>
        <v>139</v>
      </c>
      <c r="B141" s="15">
        <v>92403</v>
      </c>
      <c r="C141" s="24" t="s">
        <v>292</v>
      </c>
      <c r="D141" s="20" t="s">
        <v>12</v>
      </c>
      <c r="E141" s="25">
        <v>265000</v>
      </c>
      <c r="F141" s="26">
        <v>0</v>
      </c>
      <c r="G141" s="27">
        <f t="shared" ref="G141" si="4">E141-(E141*F141)</f>
        <v>265000</v>
      </c>
      <c r="H141" s="20"/>
      <c r="I141" s="21"/>
    </row>
  </sheetData>
  <conditionalFormatting sqref="E3:E140 G141">
    <cfRule type="notContainsBlanks" dxfId="0" priority="1">
      <formula>LEN(TRIM(E3))&gt;0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FPA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Zulhijatil Umrah</dc:creator>
  <cp:lastModifiedBy/>
  <dcterms:created xsi:type="dcterms:W3CDTF">2026-09-03T01:58:55Z</dcterms:created>
  <dcterms:modified xsi:type="dcterms:W3CDTF">2026-09-15T07:31:30Z</dcterms:modified>
</cp:coreProperties>
</file>